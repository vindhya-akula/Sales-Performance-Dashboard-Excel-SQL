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HP\Downloads\github_upload\"/>
    </mc:Choice>
  </mc:AlternateContent>
  <xr:revisionPtr revIDLastSave="0" documentId="8_{4D03A097-C50C-4F95-A582-DF5A62E56FC5}" xr6:coauthVersionLast="47" xr6:coauthVersionMax="47" xr10:uidLastSave="{00000000-0000-0000-0000-000000000000}"/>
  <bookViews>
    <workbookView xWindow="-108" yWindow="-108" windowWidth="23256" windowHeight="13176" xr2:uid="{B6D6D59F-2EA3-4BBD-9E8D-47160CDB2968}"/>
  </bookViews>
  <sheets>
    <sheet name="📋 Raw Data (2)" sheetId="1" r:id="rId1"/>
  </sheets>
  <definedNames>
    <definedName name="ExternalData_1" localSheetId="0" hidden="1">'📋 Raw Data (2)'!$A$1:$M$1001</definedName>
    <definedName name="ExternalData_1" localSheetId="0" hidden="1">'📋 Raw Data (2)'!$A$1:$M$1001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P5" i="1" l="1"/>
  <c r="R5" i="1"/>
  <c r="T5" i="1"/>
  <c r="P9" i="1"/>
  <c r="R9" i="1"/>
  <c r="T9" i="1"/>
</calcChain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69C18328-369C-465E-B2C4-D08188AAB400}" keepAlive="1" name="Query - SalesData (2)" description="Connection to the 'SalesData (2)' query in the workbook." type="5" refreshedVersion="8" background="1" saveData="1">
    <dbPr connection="Provider=Microsoft.Mashup.OleDb.1;Data Source=$Workbook$;Location=&quot;SalesData (2)&quot;;Extended Properties=&quot;&quot;" command="SELECT * FROM [SalesData (2)]"/>
  </connection>
</connections>
</file>

<file path=xl/sharedStrings.xml><?xml version="1.0" encoding="utf-8"?>
<sst xmlns="http://schemas.openxmlformats.org/spreadsheetml/2006/main" count="6019" uniqueCount="2039">
  <si>
    <t>Arjun Patel</t>
  </si>
  <si>
    <t>South</t>
  </si>
  <si>
    <t>Electronics</t>
  </si>
  <si>
    <t>Laptop</t>
  </si>
  <si>
    <t>Tony Gonzalez</t>
  </si>
  <si>
    <t>ORD10999</t>
  </si>
  <si>
    <t>Sneha Gupta</t>
  </si>
  <si>
    <t>East</t>
  </si>
  <si>
    <t>Office</t>
  </si>
  <si>
    <t>Webcam</t>
  </si>
  <si>
    <t>Heather Steele</t>
  </si>
  <si>
    <t>ORD10998</t>
  </si>
  <si>
    <t>Priya Reddy</t>
  </si>
  <si>
    <t>Central</t>
  </si>
  <si>
    <t>Susan Matthews</t>
  </si>
  <si>
    <t>ORD10997</t>
  </si>
  <si>
    <t>Neha Singh</t>
  </si>
  <si>
    <t>Phone</t>
  </si>
  <si>
    <t>Carla Rodgers</t>
  </si>
  <si>
    <t>ORD10996</t>
  </si>
  <si>
    <t>Vikram Rao</t>
  </si>
  <si>
    <t>Stephanie Gonzalez</t>
  </si>
  <si>
    <t>ORD10995</t>
  </si>
  <si>
    <t>North</t>
  </si>
  <si>
    <t>Accessories</t>
  </si>
  <si>
    <t>Mouse</t>
  </si>
  <si>
    <t>Kenneth Petersen</t>
  </si>
  <si>
    <t>ORD10994</t>
  </si>
  <si>
    <t>Monitor</t>
  </si>
  <si>
    <t>William Ward DVM</t>
  </si>
  <si>
    <t>ORD10993</t>
  </si>
  <si>
    <t>Renee Rhodes</t>
  </si>
  <si>
    <t>ORD10992</t>
  </si>
  <si>
    <t>West</t>
  </si>
  <si>
    <t>Headset</t>
  </si>
  <si>
    <t>Allison Kelley</t>
  </si>
  <si>
    <t>ORD10991</t>
  </si>
  <si>
    <t>Rahul Sharma</t>
  </si>
  <si>
    <t>Diana Farmer</t>
  </si>
  <si>
    <t>ORD10990</t>
  </si>
  <si>
    <t>Yolanda Thompson</t>
  </si>
  <si>
    <t>ORD10989</t>
  </si>
  <si>
    <t>Printer</t>
  </si>
  <si>
    <t>Brianna Matthews</t>
  </si>
  <si>
    <t>ORD10988</t>
  </si>
  <si>
    <t>Karen Smith</t>
  </si>
  <si>
    <t>ORD10987</t>
  </si>
  <si>
    <t>Monica Brady</t>
  </si>
  <si>
    <t>ORD10986</t>
  </si>
  <si>
    <t>James Collins</t>
  </si>
  <si>
    <t>ORD10985</t>
  </si>
  <si>
    <t>Mr. William Brown PhD</t>
  </si>
  <si>
    <t>ORD10984</t>
  </si>
  <si>
    <t>Tablet</t>
  </si>
  <si>
    <t>Rhonda Brown</t>
  </si>
  <si>
    <t>ORD10983</t>
  </si>
  <si>
    <t>Keyboard</t>
  </si>
  <si>
    <t>Matthew Welch</t>
  </si>
  <si>
    <t>ORD10982</t>
  </si>
  <si>
    <t>Erin Adams</t>
  </si>
  <si>
    <t>ORD10981</t>
  </si>
  <si>
    <t>Stephanie Estrada</t>
  </si>
  <si>
    <t>ORD10980</t>
  </si>
  <si>
    <t>Nicole Wade</t>
  </si>
  <si>
    <t>ORD10979</t>
  </si>
  <si>
    <t>Nancy Lowe</t>
  </si>
  <si>
    <t>ORD10978</t>
  </si>
  <si>
    <t>Tony Gibson</t>
  </si>
  <si>
    <t>ORD10977</t>
  </si>
  <si>
    <t>Jeanne Smith</t>
  </si>
  <si>
    <t>ORD10976</t>
  </si>
  <si>
    <t>Dr. Jonathon Hinton Jr.</t>
  </si>
  <si>
    <t>ORD10975</t>
  </si>
  <si>
    <t>Sonia Horne</t>
  </si>
  <si>
    <t>ORD10974</t>
  </si>
  <si>
    <t>Heidi Walker</t>
  </si>
  <si>
    <t>ORD10973</t>
  </si>
  <si>
    <t>Steven Price</t>
  </si>
  <si>
    <t>ORD10972</t>
  </si>
  <si>
    <t>Barbara Vega</t>
  </si>
  <si>
    <t>ORD10971</t>
  </si>
  <si>
    <t>Chelsea Preston MD</t>
  </si>
  <si>
    <t>ORD10970</t>
  </si>
  <si>
    <t>Lisa Carter</t>
  </si>
  <si>
    <t>ORD10969</t>
  </si>
  <si>
    <t>Joshua Miller</t>
  </si>
  <si>
    <t>ORD10968</t>
  </si>
  <si>
    <t>Jennifer Jacobs</t>
  </si>
  <si>
    <t>ORD10967</t>
  </si>
  <si>
    <t>Larry Tapia</t>
  </si>
  <si>
    <t>ORD10966</t>
  </si>
  <si>
    <t>Sara Mcguire</t>
  </si>
  <si>
    <t>ORD10965</t>
  </si>
  <si>
    <t>Michael Conner</t>
  </si>
  <si>
    <t>ORD10964</t>
  </si>
  <si>
    <t>Samantha Sullivan</t>
  </si>
  <si>
    <t>ORD10963</t>
  </si>
  <si>
    <t>Jennifer Sims</t>
  </si>
  <si>
    <t>ORD10962</t>
  </si>
  <si>
    <t>Terry Jennings DDS</t>
  </si>
  <si>
    <t>ORD10961</t>
  </si>
  <si>
    <t>Kevin Hoffman</t>
  </si>
  <si>
    <t>ORD10960</t>
  </si>
  <si>
    <t>Darlene Roberson</t>
  </si>
  <si>
    <t>ORD10959</t>
  </si>
  <si>
    <t>Theresa Wilson</t>
  </si>
  <si>
    <t>ORD10958</t>
  </si>
  <si>
    <t>Kayla Adkins</t>
  </si>
  <si>
    <t>ORD10957</t>
  </si>
  <si>
    <t>Jessica Bryan</t>
  </si>
  <si>
    <t>ORD10956</t>
  </si>
  <si>
    <t>John Kramer</t>
  </si>
  <si>
    <t>ORD10955</t>
  </si>
  <si>
    <t>Ronald Giles</t>
  </si>
  <si>
    <t>ORD10954</t>
  </si>
  <si>
    <t>Katherine Ingram</t>
  </si>
  <si>
    <t>ORD10953</t>
  </si>
  <si>
    <t>Mitchell Bailey</t>
  </si>
  <si>
    <t>ORD10952</t>
  </si>
  <si>
    <t>Amber Diaz</t>
  </si>
  <si>
    <t>ORD10951</t>
  </si>
  <si>
    <t>Nicole Fields</t>
  </si>
  <si>
    <t>ORD10950</t>
  </si>
  <si>
    <t>Amanda Fox</t>
  </si>
  <si>
    <t>ORD10949</t>
  </si>
  <si>
    <t>William Osborn</t>
  </si>
  <si>
    <t>ORD10948</t>
  </si>
  <si>
    <t>Christina Buckley</t>
  </si>
  <si>
    <t>ORD10947</t>
  </si>
  <si>
    <t>Meghan Hernandez</t>
  </si>
  <si>
    <t>ORD10946</t>
  </si>
  <si>
    <t>Amanda Kramer</t>
  </si>
  <si>
    <t>ORD10945</t>
  </si>
  <si>
    <t>Alexandra Bentley</t>
  </si>
  <si>
    <t>ORD10944</t>
  </si>
  <si>
    <t>Bradley Malone</t>
  </si>
  <si>
    <t>ORD10943</t>
  </si>
  <si>
    <t>Luke Holt</t>
  </si>
  <si>
    <t>ORD10942</t>
  </si>
  <si>
    <t>David Greene</t>
  </si>
  <si>
    <t>ORD10941</t>
  </si>
  <si>
    <t>Reginald Palmer</t>
  </si>
  <si>
    <t>ORD10940</t>
  </si>
  <si>
    <t>Angela Lane</t>
  </si>
  <si>
    <t>ORD10939</t>
  </si>
  <si>
    <t>Marcus Rodriguez</t>
  </si>
  <si>
    <t>ORD10938</t>
  </si>
  <si>
    <t>Christopher Randall</t>
  </si>
  <si>
    <t>ORD10937</t>
  </si>
  <si>
    <t>Laura Barker</t>
  </si>
  <si>
    <t>ORD10936</t>
  </si>
  <si>
    <t>Brian Brown</t>
  </si>
  <si>
    <t>ORD10935</t>
  </si>
  <si>
    <t>Seth Shaw</t>
  </si>
  <si>
    <t>ORD10934</t>
  </si>
  <si>
    <t>Justin Travis</t>
  </si>
  <si>
    <t>ORD10933</t>
  </si>
  <si>
    <t>Amanda Scott</t>
  </si>
  <si>
    <t>ORD10932</t>
  </si>
  <si>
    <t>Joshua Wilson MD</t>
  </si>
  <si>
    <t>ORD10931</t>
  </si>
  <si>
    <t>Brian Allen</t>
  </si>
  <si>
    <t>ORD10930</t>
  </si>
  <si>
    <t>Shelley Castillo</t>
  </si>
  <si>
    <t>ORD10929</t>
  </si>
  <si>
    <t>Matthew Davis</t>
  </si>
  <si>
    <t>ORD10928</t>
  </si>
  <si>
    <t>James Alvarado</t>
  </si>
  <si>
    <t>ORD10927</t>
  </si>
  <si>
    <t>Michael Perry</t>
  </si>
  <si>
    <t>ORD10926</t>
  </si>
  <si>
    <t>Andrew Palmer</t>
  </si>
  <si>
    <t>ORD10925</t>
  </si>
  <si>
    <t>Ashley Martin</t>
  </si>
  <si>
    <t>ORD10924</t>
  </si>
  <si>
    <t>Benjamin Hansen</t>
  </si>
  <si>
    <t>ORD10923</t>
  </si>
  <si>
    <t>Mr. Jackson Rodriguez</t>
  </si>
  <si>
    <t>ORD10922</t>
  </si>
  <si>
    <t>Amber Cook</t>
  </si>
  <si>
    <t>ORD10921</t>
  </si>
  <si>
    <t>Tracy Cooper</t>
  </si>
  <si>
    <t>ORD10920</t>
  </si>
  <si>
    <t>Lauren Evans</t>
  </si>
  <si>
    <t>ORD10919</t>
  </si>
  <si>
    <t>Devin Orozco</t>
  </si>
  <si>
    <t>ORD10918</t>
  </si>
  <si>
    <t>Kevin Avila</t>
  </si>
  <si>
    <t>ORD10917</t>
  </si>
  <si>
    <t>Timothy Davis MD</t>
  </si>
  <si>
    <t>ORD10916</t>
  </si>
  <si>
    <t>John Smith</t>
  </si>
  <si>
    <t>ORD10915</t>
  </si>
  <si>
    <t>Whitney Ayers</t>
  </si>
  <si>
    <t>ORD10914</t>
  </si>
  <si>
    <t>Andrew Bell</t>
  </si>
  <si>
    <t>ORD10913</t>
  </si>
  <si>
    <t>Nicholas Jordan</t>
  </si>
  <si>
    <t>ORD10912</t>
  </si>
  <si>
    <t>Matthew Benson</t>
  </si>
  <si>
    <t>ORD10911</t>
  </si>
  <si>
    <t>Andrew James</t>
  </si>
  <si>
    <t>ORD10910</t>
  </si>
  <si>
    <t>Brittany Lloyd</t>
  </si>
  <si>
    <t>ORD10909</t>
  </si>
  <si>
    <t>Emily Scott</t>
  </si>
  <si>
    <t>ORD10908</t>
  </si>
  <si>
    <t>Kevin Flores</t>
  </si>
  <si>
    <t>ORD10907</t>
  </si>
  <si>
    <t>Christopher Griffin</t>
  </si>
  <si>
    <t>ORD10906</t>
  </si>
  <si>
    <t>Brittney Brown</t>
  </si>
  <si>
    <t>ORD10905</t>
  </si>
  <si>
    <t>Roy Mccarthy</t>
  </si>
  <si>
    <t>ORD10904</t>
  </si>
  <si>
    <t>Richard Tapia</t>
  </si>
  <si>
    <t>ORD10903</t>
  </si>
  <si>
    <t>Michelle Black</t>
  </si>
  <si>
    <t>ORD10902</t>
  </si>
  <si>
    <t>Daniel Massey</t>
  </si>
  <si>
    <t>ORD10901</t>
  </si>
  <si>
    <t>Daniel Le</t>
  </si>
  <si>
    <t>ORD10900</t>
  </si>
  <si>
    <t>Thomas Hoffman</t>
  </si>
  <si>
    <t>ORD10899</t>
  </si>
  <si>
    <t>Spencer Olsen</t>
  </si>
  <si>
    <t>ORD10898</t>
  </si>
  <si>
    <t>Jeffrey Fowler</t>
  </si>
  <si>
    <t>ORD10897</t>
  </si>
  <si>
    <t>Nicholas Harris</t>
  </si>
  <si>
    <t>ORD10896</t>
  </si>
  <si>
    <t>Rebekah Vargas</t>
  </si>
  <si>
    <t>ORD10895</t>
  </si>
  <si>
    <t>Daniel Gonzales</t>
  </si>
  <si>
    <t>ORD10894</t>
  </si>
  <si>
    <t>Jennifer Cunningham</t>
  </si>
  <si>
    <t>ORD10893</t>
  </si>
  <si>
    <t>Mary Daniel</t>
  </si>
  <si>
    <t>ORD10892</t>
  </si>
  <si>
    <t>Robert Gonzalez</t>
  </si>
  <si>
    <t>ORD10891</t>
  </si>
  <si>
    <t>Mary Mckinney</t>
  </si>
  <si>
    <t>ORD10890</t>
  </si>
  <si>
    <t>Anthony Herrera</t>
  </si>
  <si>
    <t>ORD10889</t>
  </si>
  <si>
    <t>Jeffrey Ryan</t>
  </si>
  <si>
    <t>ORD10888</t>
  </si>
  <si>
    <t>Anthony Torres</t>
  </si>
  <si>
    <t>ORD10887</t>
  </si>
  <si>
    <t>Elizabeth Foster</t>
  </si>
  <si>
    <t>ORD10886</t>
  </si>
  <si>
    <t>Dennis Edwards</t>
  </si>
  <si>
    <t>ORD10885</t>
  </si>
  <si>
    <t>William Lopez</t>
  </si>
  <si>
    <t>ORD10884</t>
  </si>
  <si>
    <t>Shelby Thomas</t>
  </si>
  <si>
    <t>ORD10883</t>
  </si>
  <si>
    <t>Jennifer Silva</t>
  </si>
  <si>
    <t>ORD10882</t>
  </si>
  <si>
    <t>George Roy</t>
  </si>
  <si>
    <t>ORD10881</t>
  </si>
  <si>
    <t>Kristy Brown</t>
  </si>
  <si>
    <t>ORD10880</t>
  </si>
  <si>
    <t>Alexis Crawford</t>
  </si>
  <si>
    <t>ORD10879</t>
  </si>
  <si>
    <t>Bailey Walker</t>
  </si>
  <si>
    <t>ORD10878</t>
  </si>
  <si>
    <t>Elizabeth Rivera</t>
  </si>
  <si>
    <t>ORD10877</t>
  </si>
  <si>
    <t>Natalie Morales</t>
  </si>
  <si>
    <t>ORD10876</t>
  </si>
  <si>
    <t>Chad Mullins</t>
  </si>
  <si>
    <t>ORD10875</t>
  </si>
  <si>
    <t>John Zamora</t>
  </si>
  <si>
    <t>ORD10874</t>
  </si>
  <si>
    <t>Taylor Haynes</t>
  </si>
  <si>
    <t>ORD10873</t>
  </si>
  <si>
    <t>Nicole Johnson</t>
  </si>
  <si>
    <t>ORD10872</t>
  </si>
  <si>
    <t>James Perry</t>
  </si>
  <si>
    <t>ORD10871</t>
  </si>
  <si>
    <t>Erin Jones</t>
  </si>
  <si>
    <t>ORD10870</t>
  </si>
  <si>
    <t>Sarah Carpenter</t>
  </si>
  <si>
    <t>ORD10869</t>
  </si>
  <si>
    <t>Kenneth Buckley</t>
  </si>
  <si>
    <t>ORD10868</t>
  </si>
  <si>
    <t>Lawrence Scott</t>
  </si>
  <si>
    <t>ORD10867</t>
  </si>
  <si>
    <t>Andrew Mullins</t>
  </si>
  <si>
    <t>ORD10866</t>
  </si>
  <si>
    <t>Jacqueline Williams</t>
  </si>
  <si>
    <t>ORD10865</t>
  </si>
  <si>
    <t>Brandon Anderson DVM</t>
  </si>
  <si>
    <t>ORD10864</t>
  </si>
  <si>
    <t>Roy Davis</t>
  </si>
  <si>
    <t>ORD10863</t>
  </si>
  <si>
    <t>Joshua Stark</t>
  </si>
  <si>
    <t>ORD10862</t>
  </si>
  <si>
    <t>Kenneth Brown</t>
  </si>
  <si>
    <t>ORD10861</t>
  </si>
  <si>
    <t>Rebecca King</t>
  </si>
  <si>
    <t>ORD10860</t>
  </si>
  <si>
    <t>Joseph Young</t>
  </si>
  <si>
    <t>ORD10859</t>
  </si>
  <si>
    <t>Joseph Smith</t>
  </si>
  <si>
    <t>ORD10858</t>
  </si>
  <si>
    <t>Joann Mendoza</t>
  </si>
  <si>
    <t>ORD10857</t>
  </si>
  <si>
    <t>Denise Roberts</t>
  </si>
  <si>
    <t>ORD10856</t>
  </si>
  <si>
    <t>Robert Boyd</t>
  </si>
  <si>
    <t>ORD10855</t>
  </si>
  <si>
    <t>Michael Brooks</t>
  </si>
  <si>
    <t>ORD10854</t>
  </si>
  <si>
    <t>Ronnie Meyers</t>
  </si>
  <si>
    <t>ORD10853</t>
  </si>
  <si>
    <t>Marissa Lozano</t>
  </si>
  <si>
    <t>ORD10852</t>
  </si>
  <si>
    <t>Matthew Thompson</t>
  </si>
  <si>
    <t>ORD10851</t>
  </si>
  <si>
    <t>Robin Allen</t>
  </si>
  <si>
    <t>ORD10850</t>
  </si>
  <si>
    <t>Peter Diaz</t>
  </si>
  <si>
    <t>ORD10849</t>
  </si>
  <si>
    <t>Kevin Duncan</t>
  </si>
  <si>
    <t>ORD10848</t>
  </si>
  <si>
    <t>Terry Kennedy</t>
  </si>
  <si>
    <t>ORD10847</t>
  </si>
  <si>
    <t>Mary Bradshaw</t>
  </si>
  <si>
    <t>ORD10846</t>
  </si>
  <si>
    <t>Megan Morris</t>
  </si>
  <si>
    <t>ORD10845</t>
  </si>
  <si>
    <t>Austin Daugherty</t>
  </si>
  <si>
    <t>ORD10844</t>
  </si>
  <si>
    <t>Mark Paul</t>
  </si>
  <si>
    <t>ORD10843</t>
  </si>
  <si>
    <t>Katrina Vargas</t>
  </si>
  <si>
    <t>ORD10842</t>
  </si>
  <si>
    <t>Kenneth Wells</t>
  </si>
  <si>
    <t>ORD10841</t>
  </si>
  <si>
    <t>Matthew Dunn</t>
  </si>
  <si>
    <t>ORD10840</t>
  </si>
  <si>
    <t>Mitchell Sullivan</t>
  </si>
  <si>
    <t>ORD10839</t>
  </si>
  <si>
    <t>Brian Cameron</t>
  </si>
  <si>
    <t>ORD10838</t>
  </si>
  <si>
    <t>Monica Ritter</t>
  </si>
  <si>
    <t>ORD10837</t>
  </si>
  <si>
    <t>Lawrence House</t>
  </si>
  <si>
    <t>ORD10836</t>
  </si>
  <si>
    <t>Regina Villanueva</t>
  </si>
  <si>
    <t>ORD10835</t>
  </si>
  <si>
    <t>William Hughes</t>
  </si>
  <si>
    <t>ORD10834</t>
  </si>
  <si>
    <t>Debra Henderson</t>
  </si>
  <si>
    <t>ORD10833</t>
  </si>
  <si>
    <t>Gary Jenkins</t>
  </si>
  <si>
    <t>ORD10832</t>
  </si>
  <si>
    <t>Michael Delgado</t>
  </si>
  <si>
    <t>ORD10831</t>
  </si>
  <si>
    <t>Richard Crane</t>
  </si>
  <si>
    <t>ORD10830</t>
  </si>
  <si>
    <t>Benjamin Williams</t>
  </si>
  <si>
    <t>ORD10829</t>
  </si>
  <si>
    <t>Benjamin Padilla</t>
  </si>
  <si>
    <t>ORD10828</t>
  </si>
  <si>
    <t>Daniel Ponce</t>
  </si>
  <si>
    <t>ORD10827</t>
  </si>
  <si>
    <t>Sara Bernard</t>
  </si>
  <si>
    <t>ORD10826</t>
  </si>
  <si>
    <t>Oscar Mason</t>
  </si>
  <si>
    <t>ORD10825</t>
  </si>
  <si>
    <t>April Walker</t>
  </si>
  <si>
    <t>ORD10824</t>
  </si>
  <si>
    <t>Brian Krueger</t>
  </si>
  <si>
    <t>ORD10823</t>
  </si>
  <si>
    <t>Alejandro Ewing</t>
  </si>
  <si>
    <t>ORD10822</t>
  </si>
  <si>
    <t>Kurt Andrews</t>
  </si>
  <si>
    <t>ORD10821</t>
  </si>
  <si>
    <t>Ricky Norris</t>
  </si>
  <si>
    <t>ORD10820</t>
  </si>
  <si>
    <t>George Jacobson</t>
  </si>
  <si>
    <t>ORD10819</t>
  </si>
  <si>
    <t>Gerald Sellers</t>
  </si>
  <si>
    <t>ORD10818</t>
  </si>
  <si>
    <t>Paul Marshall</t>
  </si>
  <si>
    <t>ORD10817</t>
  </si>
  <si>
    <t>Thomas Hernandez</t>
  </si>
  <si>
    <t>ORD10816</t>
  </si>
  <si>
    <t>Alexander Rodriguez</t>
  </si>
  <si>
    <t>ORD10815</t>
  </si>
  <si>
    <t>Jeffrey Taylor</t>
  </si>
  <si>
    <t>ORD10814</t>
  </si>
  <si>
    <t>Heather Chan</t>
  </si>
  <si>
    <t>ORD10813</t>
  </si>
  <si>
    <t>Anthony Casey</t>
  </si>
  <si>
    <t>ORD10812</t>
  </si>
  <si>
    <t>Michael Harper</t>
  </si>
  <si>
    <t>ORD10811</t>
  </si>
  <si>
    <t>Aaron Wiggins</t>
  </si>
  <si>
    <t>ORD10810</t>
  </si>
  <si>
    <t>Paul Carson</t>
  </si>
  <si>
    <t>ORD10809</t>
  </si>
  <si>
    <t>Dr. Karen Peck</t>
  </si>
  <si>
    <t>ORD10808</t>
  </si>
  <si>
    <t>Elizabeth Gamble</t>
  </si>
  <si>
    <t>ORD10807</t>
  </si>
  <si>
    <t>Hector Nguyen</t>
  </si>
  <si>
    <t>ORD10806</t>
  </si>
  <si>
    <t>David Baker</t>
  </si>
  <si>
    <t>ORD10805</t>
  </si>
  <si>
    <t>Jaime Sandoval</t>
  </si>
  <si>
    <t>ORD10804</t>
  </si>
  <si>
    <t>Amy Elliott</t>
  </si>
  <si>
    <t>ORD10803</t>
  </si>
  <si>
    <t>Robert Mcintyre</t>
  </si>
  <si>
    <t>ORD10802</t>
  </si>
  <si>
    <t>Steven Rodriguez</t>
  </si>
  <si>
    <t>ORD10801</t>
  </si>
  <si>
    <t>Stephanie Price</t>
  </si>
  <si>
    <t>ORD10800</t>
  </si>
  <si>
    <t>William Porter</t>
  </si>
  <si>
    <t>ORD10799</t>
  </si>
  <si>
    <t>Kelsey Bell</t>
  </si>
  <si>
    <t>ORD10798</t>
  </si>
  <si>
    <t>Christopher Rojas</t>
  </si>
  <si>
    <t>ORD10797</t>
  </si>
  <si>
    <t>Deanna Obrien</t>
  </si>
  <si>
    <t>ORD10796</t>
  </si>
  <si>
    <t>Antonio Shaw</t>
  </si>
  <si>
    <t>ORD10795</t>
  </si>
  <si>
    <t>William Giles</t>
  </si>
  <si>
    <t>ORD10794</t>
  </si>
  <si>
    <t>Heidi Mayo</t>
  </si>
  <si>
    <t>ORD10793</t>
  </si>
  <si>
    <t>Justin Garcia</t>
  </si>
  <si>
    <t>ORD10792</t>
  </si>
  <si>
    <t>Joseph Everett</t>
  </si>
  <si>
    <t>ORD10791</t>
  </si>
  <si>
    <t>Kirsten Mccarthy</t>
  </si>
  <si>
    <t>ORD10790</t>
  </si>
  <si>
    <t>Pamela Parsons</t>
  </si>
  <si>
    <t>ORD10789</t>
  </si>
  <si>
    <t>Ms. Crystal Montgomery</t>
  </si>
  <si>
    <t>ORD10788</t>
  </si>
  <si>
    <t>Leah Peters</t>
  </si>
  <si>
    <t>ORD10787</t>
  </si>
  <si>
    <t>Heather Ward</t>
  </si>
  <si>
    <t>ORD10786</t>
  </si>
  <si>
    <t>Christopher Thomas</t>
  </si>
  <si>
    <t>ORD10785</t>
  </si>
  <si>
    <t>Michael Conley</t>
  </si>
  <si>
    <t>ORD10784</t>
  </si>
  <si>
    <t>Kristy Huerta</t>
  </si>
  <si>
    <t>ORD10783</t>
  </si>
  <si>
    <t>Jennifer Bentley DVM</t>
  </si>
  <si>
    <t>ORD10782</t>
  </si>
  <si>
    <t>Mark Cook</t>
  </si>
  <si>
    <t>ORD10781</t>
  </si>
  <si>
    <t>Carrie Boyer</t>
  </si>
  <si>
    <t>ORD10780</t>
  </si>
  <si>
    <t>Mariah Sullivan</t>
  </si>
  <si>
    <t>ORD10779</t>
  </si>
  <si>
    <t>Alexander Morris</t>
  </si>
  <si>
    <t>ORD10778</t>
  </si>
  <si>
    <t>Joshua Hutchinson</t>
  </si>
  <si>
    <t>ORD10777</t>
  </si>
  <si>
    <t>Laura Ball</t>
  </si>
  <si>
    <t>ORD10776</t>
  </si>
  <si>
    <t>Lindsay Miller</t>
  </si>
  <si>
    <t>ORD10775</t>
  </si>
  <si>
    <t>Ariana Allen</t>
  </si>
  <si>
    <t>ORD10774</t>
  </si>
  <si>
    <t>Curtis Morrison</t>
  </si>
  <si>
    <t>ORD10773</t>
  </si>
  <si>
    <t>Cynthia Smith</t>
  </si>
  <si>
    <t>ORD10772</t>
  </si>
  <si>
    <t>David Johnson</t>
  </si>
  <si>
    <t>ORD10771</t>
  </si>
  <si>
    <t>Sara Flores</t>
  </si>
  <si>
    <t>ORD10770</t>
  </si>
  <si>
    <t>Raymond Patterson</t>
  </si>
  <si>
    <t>ORD10769</t>
  </si>
  <si>
    <t>Christopher Carpenter</t>
  </si>
  <si>
    <t>ORD10768</t>
  </si>
  <si>
    <t>Angel Lee</t>
  </si>
  <si>
    <t>ORD10767</t>
  </si>
  <si>
    <t>Nicholas Arnold</t>
  </si>
  <si>
    <t>ORD10766</t>
  </si>
  <si>
    <t>Laurie Thomas</t>
  </si>
  <si>
    <t>ORD10765</t>
  </si>
  <si>
    <t>Jeremy Carroll</t>
  </si>
  <si>
    <t>ORD10764</t>
  </si>
  <si>
    <t>Daniel Oneal</t>
  </si>
  <si>
    <t>ORD10763</t>
  </si>
  <si>
    <t>Mr. David Young</t>
  </si>
  <si>
    <t>ORD10762</t>
  </si>
  <si>
    <t>Megan Stephenson</t>
  </si>
  <si>
    <t>ORD10761</t>
  </si>
  <si>
    <t>Juan Sullivan</t>
  </si>
  <si>
    <t>ORD10760</t>
  </si>
  <si>
    <t>Jack Castaneda</t>
  </si>
  <si>
    <t>ORD10759</t>
  </si>
  <si>
    <t>Brenda Jones</t>
  </si>
  <si>
    <t>ORD10758</t>
  </si>
  <si>
    <t>Douglas Pope</t>
  </si>
  <si>
    <t>ORD10757</t>
  </si>
  <si>
    <t>Jeffery Armstrong</t>
  </si>
  <si>
    <t>ORD10756</t>
  </si>
  <si>
    <t>Justin Wise</t>
  </si>
  <si>
    <t>ORD10755</t>
  </si>
  <si>
    <t>Kelsey Krueger</t>
  </si>
  <si>
    <t>ORD10754</t>
  </si>
  <si>
    <t>Arthur Esparza</t>
  </si>
  <si>
    <t>ORD10753</t>
  </si>
  <si>
    <t>Charles Lambert</t>
  </si>
  <si>
    <t>ORD10752</t>
  </si>
  <si>
    <t>Mr. David Walter</t>
  </si>
  <si>
    <t>ORD10751</t>
  </si>
  <si>
    <t>Hector Smith</t>
  </si>
  <si>
    <t>ORD10750</t>
  </si>
  <si>
    <t>Monica Rivera</t>
  </si>
  <si>
    <t>ORD10749</t>
  </si>
  <si>
    <t>Leah Williams</t>
  </si>
  <si>
    <t>ORD10748</t>
  </si>
  <si>
    <t>Heather Rice</t>
  </si>
  <si>
    <t>ORD10747</t>
  </si>
  <si>
    <t>Jennifer Salas</t>
  </si>
  <si>
    <t>ORD10746</t>
  </si>
  <si>
    <t>Sarah Ponce</t>
  </si>
  <si>
    <t>ORD10745</t>
  </si>
  <si>
    <t>Clarence Cardenas</t>
  </si>
  <si>
    <t>ORD10744</t>
  </si>
  <si>
    <t>Katelyn Webb MD</t>
  </si>
  <si>
    <t>ORD10743</t>
  </si>
  <si>
    <t>Tiffany Smith</t>
  </si>
  <si>
    <t>ORD10742</t>
  </si>
  <si>
    <t>Danielle Osborn</t>
  </si>
  <si>
    <t>ORD10741</t>
  </si>
  <si>
    <t>Michael James</t>
  </si>
  <si>
    <t>ORD10740</t>
  </si>
  <si>
    <t>Benjamin Green Jr.</t>
  </si>
  <si>
    <t>ORD10739</t>
  </si>
  <si>
    <t>Lauren Wilson</t>
  </si>
  <si>
    <t>ORD10738</t>
  </si>
  <si>
    <t>Hector Benson</t>
  </si>
  <si>
    <t>ORD10737</t>
  </si>
  <si>
    <t>Ashley Schaefer</t>
  </si>
  <si>
    <t>ORD10736</t>
  </si>
  <si>
    <t>Robert Gomez MD</t>
  </si>
  <si>
    <t>ORD10735</t>
  </si>
  <si>
    <t>Omar Gould</t>
  </si>
  <si>
    <t>ORD10734</t>
  </si>
  <si>
    <t>Alexandra Scott</t>
  </si>
  <si>
    <t>ORD10733</t>
  </si>
  <si>
    <t>Patrick Peterson</t>
  </si>
  <si>
    <t>ORD10732</t>
  </si>
  <si>
    <t>Brian Chandler</t>
  </si>
  <si>
    <t>ORD10731</t>
  </si>
  <si>
    <t>Stephen Howell</t>
  </si>
  <si>
    <t>ORD10730</t>
  </si>
  <si>
    <t>Julia Martinez</t>
  </si>
  <si>
    <t>ORD10729</t>
  </si>
  <si>
    <t>Jaime Smith</t>
  </si>
  <si>
    <t>ORD10728</t>
  </si>
  <si>
    <t>James Montgomery</t>
  </si>
  <si>
    <t>ORD10727</t>
  </si>
  <si>
    <t>Tyler Hart</t>
  </si>
  <si>
    <t>ORD10726</t>
  </si>
  <si>
    <t>Julia Parks</t>
  </si>
  <si>
    <t>ORD10725</t>
  </si>
  <si>
    <t>Tiffany Sims</t>
  </si>
  <si>
    <t>ORD10724</t>
  </si>
  <si>
    <t>Scott Pierce</t>
  </si>
  <si>
    <t>ORD10723</t>
  </si>
  <si>
    <t>Sarah Shelton</t>
  </si>
  <si>
    <t>ORD10722</t>
  </si>
  <si>
    <t>Ashley Palmer</t>
  </si>
  <si>
    <t>ORD10721</t>
  </si>
  <si>
    <t>Crystal Ellis</t>
  </si>
  <si>
    <t>ORD10720</t>
  </si>
  <si>
    <t>Brandon Schmidt</t>
  </si>
  <si>
    <t>ORD10719</t>
  </si>
  <si>
    <t>Paul Walker</t>
  </si>
  <si>
    <t>ORD10718</t>
  </si>
  <si>
    <t>Dean Perez</t>
  </si>
  <si>
    <t>ORD10717</t>
  </si>
  <si>
    <t>Jennifer Moreno</t>
  </si>
  <si>
    <t>ORD10716</t>
  </si>
  <si>
    <t>Bridget Riley</t>
  </si>
  <si>
    <t>ORD10715</t>
  </si>
  <si>
    <t>Colin Gregory</t>
  </si>
  <si>
    <t>ORD10714</t>
  </si>
  <si>
    <t>Sean Moreno</t>
  </si>
  <si>
    <t>ORD10713</t>
  </si>
  <si>
    <t>Tiffany Castillo</t>
  </si>
  <si>
    <t>ORD10712</t>
  </si>
  <si>
    <t>Erin Barrett</t>
  </si>
  <si>
    <t>ORD10711</t>
  </si>
  <si>
    <t>Lisa Shepherd</t>
  </si>
  <si>
    <t>ORD10710</t>
  </si>
  <si>
    <t>Susan Grimes</t>
  </si>
  <si>
    <t>ORD10709</t>
  </si>
  <si>
    <t>Joshua Black</t>
  </si>
  <si>
    <t>ORD10708</t>
  </si>
  <si>
    <t>Justin Bailey</t>
  </si>
  <si>
    <t>ORD10707</t>
  </si>
  <si>
    <t>Nathaniel Gray</t>
  </si>
  <si>
    <t>ORD10706</t>
  </si>
  <si>
    <t>Jeffrey Wade</t>
  </si>
  <si>
    <t>ORD10705</t>
  </si>
  <si>
    <t>Anthony Page</t>
  </si>
  <si>
    <t>ORD10704</t>
  </si>
  <si>
    <t>Rachel Coleman</t>
  </si>
  <si>
    <t>ORD10703</t>
  </si>
  <si>
    <t>Jaime Johnson</t>
  </si>
  <si>
    <t>ORD10702</t>
  </si>
  <si>
    <t>Andrew Gonzales</t>
  </si>
  <si>
    <t>ORD10701</t>
  </si>
  <si>
    <t>Charles Walsh</t>
  </si>
  <si>
    <t>ORD10700</t>
  </si>
  <si>
    <t>Mr. Elijah Perkins Jr.</t>
  </si>
  <si>
    <t>ORD10699</t>
  </si>
  <si>
    <t>Anthony Robinson</t>
  </si>
  <si>
    <t>ORD10698</t>
  </si>
  <si>
    <t>Robert Morse</t>
  </si>
  <si>
    <t>ORD10697</t>
  </si>
  <si>
    <t>Ronald Allen</t>
  </si>
  <si>
    <t>ORD10696</t>
  </si>
  <si>
    <t>David Taylor</t>
  </si>
  <si>
    <t>ORD10695</t>
  </si>
  <si>
    <t>Erin Lopez</t>
  </si>
  <si>
    <t>ORD10694</t>
  </si>
  <si>
    <t>Ashley Higgins</t>
  </si>
  <si>
    <t>ORD10693</t>
  </si>
  <si>
    <t>Mark Singleton</t>
  </si>
  <si>
    <t>ORD10692</t>
  </si>
  <si>
    <t>James Thomas</t>
  </si>
  <si>
    <t>ORD10691</t>
  </si>
  <si>
    <t>ORD10690</t>
  </si>
  <si>
    <t>Louis Cross</t>
  </si>
  <si>
    <t>ORD10689</t>
  </si>
  <si>
    <t>Alejandra Gillespie</t>
  </si>
  <si>
    <t>ORD10688</t>
  </si>
  <si>
    <t>Tina Freeman</t>
  </si>
  <si>
    <t>ORD10687</t>
  </si>
  <si>
    <t>Veronica Elliott</t>
  </si>
  <si>
    <t>ORD10686</t>
  </si>
  <si>
    <t>William Washington</t>
  </si>
  <si>
    <t>ORD10685</t>
  </si>
  <si>
    <t>Christopher Jones</t>
  </si>
  <si>
    <t>ORD10684</t>
  </si>
  <si>
    <t>Candace Wallace</t>
  </si>
  <si>
    <t>ORD10683</t>
  </si>
  <si>
    <t>Craig Miles</t>
  </si>
  <si>
    <t>ORD10682</t>
  </si>
  <si>
    <t>John Williams</t>
  </si>
  <si>
    <t>ORD10681</t>
  </si>
  <si>
    <t>Sandra Wilson</t>
  </si>
  <si>
    <t>ORD10680</t>
  </si>
  <si>
    <t>Brittney Krause</t>
  </si>
  <si>
    <t>ORD10679</t>
  </si>
  <si>
    <t>Kimberly Hodges</t>
  </si>
  <si>
    <t>ORD10678</t>
  </si>
  <si>
    <t>Laurie Allen</t>
  </si>
  <si>
    <t>ORD10677</t>
  </si>
  <si>
    <t>Heather Evans</t>
  </si>
  <si>
    <t>ORD10676</t>
  </si>
  <si>
    <t>Dr. Aaron Holt</t>
  </si>
  <si>
    <t>ORD10675</t>
  </si>
  <si>
    <t>Chad Mann</t>
  </si>
  <si>
    <t>ORD10674</t>
  </si>
  <si>
    <t>Gregory Davis</t>
  </si>
  <si>
    <t>ORD10673</t>
  </si>
  <si>
    <t>Kimberly Wright</t>
  </si>
  <si>
    <t>ORD10672</t>
  </si>
  <si>
    <t>Carrie Martin</t>
  </si>
  <si>
    <t>ORD10671</t>
  </si>
  <si>
    <t>Amanda Park</t>
  </si>
  <si>
    <t>ORD10670</t>
  </si>
  <si>
    <t>Sarah Osborne</t>
  </si>
  <si>
    <t>ORD10669</t>
  </si>
  <si>
    <t>Anthony Wolfe</t>
  </si>
  <si>
    <t>ORD10668</t>
  </si>
  <si>
    <t>Melissa Combs</t>
  </si>
  <si>
    <t>ORD10667</t>
  </si>
  <si>
    <t>Jessica Conrad</t>
  </si>
  <si>
    <t>ORD10666</t>
  </si>
  <si>
    <t>Connie Rose</t>
  </si>
  <si>
    <t>ORD10665</t>
  </si>
  <si>
    <t>Michael Long</t>
  </si>
  <si>
    <t>ORD10664</t>
  </si>
  <si>
    <t>Richard Reed</t>
  </si>
  <si>
    <t>ORD10663</t>
  </si>
  <si>
    <t>David Rodriguez</t>
  </si>
  <si>
    <t>ORD10662</t>
  </si>
  <si>
    <t>Sheri Richards</t>
  </si>
  <si>
    <t>ORD10661</t>
  </si>
  <si>
    <t>Ruben Frank</t>
  </si>
  <si>
    <t>ORD10660</t>
  </si>
  <si>
    <t>Mr. Timothy Santiago MD</t>
  </si>
  <si>
    <t>ORD10659</t>
  </si>
  <si>
    <t>Catherine Franco</t>
  </si>
  <si>
    <t>ORD10658</t>
  </si>
  <si>
    <t>Oscar Tran</t>
  </si>
  <si>
    <t>ORD10657</t>
  </si>
  <si>
    <t>Christopher Gonzalez</t>
  </si>
  <si>
    <t>ORD10656</t>
  </si>
  <si>
    <t>Colleen Byrd</t>
  </si>
  <si>
    <t>ORD10655</t>
  </si>
  <si>
    <t>Catherine Wilson</t>
  </si>
  <si>
    <t>ORD10654</t>
  </si>
  <si>
    <t>Zachary Morales</t>
  </si>
  <si>
    <t>ORD10653</t>
  </si>
  <si>
    <t>Jason Hopkins</t>
  </si>
  <si>
    <t>ORD10652</t>
  </si>
  <si>
    <t>Jacob Lloyd</t>
  </si>
  <si>
    <t>ORD10651</t>
  </si>
  <si>
    <t>Shannon Anderson</t>
  </si>
  <si>
    <t>ORD10650</t>
  </si>
  <si>
    <t>Ryan Marshall</t>
  </si>
  <si>
    <t>ORD10649</t>
  </si>
  <si>
    <t>Cameron Moran</t>
  </si>
  <si>
    <t>ORD10648</t>
  </si>
  <si>
    <t>Cheryl Higgins</t>
  </si>
  <si>
    <t>ORD10647</t>
  </si>
  <si>
    <t>Justin Ward</t>
  </si>
  <si>
    <t>ORD10646</t>
  </si>
  <si>
    <t>Crystal Lopez</t>
  </si>
  <si>
    <t>ORD10645</t>
  </si>
  <si>
    <t>James Miller</t>
  </si>
  <si>
    <t>ORD10644</t>
  </si>
  <si>
    <t>Alyssa Higgins</t>
  </si>
  <si>
    <t>ORD10643</t>
  </si>
  <si>
    <t>Kimberly Nelson</t>
  </si>
  <si>
    <t>ORD10642</t>
  </si>
  <si>
    <t>Beth Christensen</t>
  </si>
  <si>
    <t>ORD10641</t>
  </si>
  <si>
    <t>Isabel Sanchez</t>
  </si>
  <si>
    <t>ORD10640</t>
  </si>
  <si>
    <t>Yolanda Carlson</t>
  </si>
  <si>
    <t>ORD10639</t>
  </si>
  <si>
    <t>Crystal Chavez</t>
  </si>
  <si>
    <t>ORD10638</t>
  </si>
  <si>
    <t>Tyler Clark</t>
  </si>
  <si>
    <t>ORD10637</t>
  </si>
  <si>
    <t>Jacob Robinson</t>
  </si>
  <si>
    <t>ORD10636</t>
  </si>
  <si>
    <t>Jeremy Huff</t>
  </si>
  <si>
    <t>ORD10635</t>
  </si>
  <si>
    <t>Craig Gardner</t>
  </si>
  <si>
    <t>ORD10634</t>
  </si>
  <si>
    <t>Gloria Moore</t>
  </si>
  <si>
    <t>ORD10633</t>
  </si>
  <si>
    <t>Gregory Graham</t>
  </si>
  <si>
    <t>ORD10632</t>
  </si>
  <si>
    <t>Heather Sanchez</t>
  </si>
  <si>
    <t>ORD10631</t>
  </si>
  <si>
    <t>Matthew Ali</t>
  </si>
  <si>
    <t>ORD10630</t>
  </si>
  <si>
    <t>Ashley Ferguson</t>
  </si>
  <si>
    <t>ORD10629</t>
  </si>
  <si>
    <t>Adam Khan</t>
  </si>
  <si>
    <t>ORD10628</t>
  </si>
  <si>
    <t>Dr. David Thompson</t>
  </si>
  <si>
    <t>ORD10627</t>
  </si>
  <si>
    <t>Jennifer Ross</t>
  </si>
  <si>
    <t>ORD10626</t>
  </si>
  <si>
    <t>Travis Sanchez MD</t>
  </si>
  <si>
    <t>ORD10625</t>
  </si>
  <si>
    <t>Jason King</t>
  </si>
  <si>
    <t>ORD10624</t>
  </si>
  <si>
    <t>Emily Nolan</t>
  </si>
  <si>
    <t>ORD10623</t>
  </si>
  <si>
    <t>Daniel Moore</t>
  </si>
  <si>
    <t>ORD10622</t>
  </si>
  <si>
    <t>Tina Gonzales</t>
  </si>
  <si>
    <t>ORD10621</t>
  </si>
  <si>
    <t>Alicia Robinson</t>
  </si>
  <si>
    <t>ORD10620</t>
  </si>
  <si>
    <t>Lauren Bailey</t>
  </si>
  <si>
    <t>ORD10619</t>
  </si>
  <si>
    <t>Andrew Fuller</t>
  </si>
  <si>
    <t>ORD10618</t>
  </si>
  <si>
    <t>Erica Baldwin</t>
  </si>
  <si>
    <t>ORD10617</t>
  </si>
  <si>
    <t>Robert Santos</t>
  </si>
  <si>
    <t>ORD10616</t>
  </si>
  <si>
    <t>Joseph Morrow</t>
  </si>
  <si>
    <t>ORD10615</t>
  </si>
  <si>
    <t>Katrina Johnson</t>
  </si>
  <si>
    <t>ORD10614</t>
  </si>
  <si>
    <t>Jennifer Martinez</t>
  </si>
  <si>
    <t>ORD10613</t>
  </si>
  <si>
    <t>Matthew Schmidt</t>
  </si>
  <si>
    <t>ORD10612</t>
  </si>
  <si>
    <t>Christopher Mack</t>
  </si>
  <si>
    <t>ORD10611</t>
  </si>
  <si>
    <t>Ryan Willis</t>
  </si>
  <si>
    <t>ORD10610</t>
  </si>
  <si>
    <t>Michael Tran</t>
  </si>
  <si>
    <t>ORD10609</t>
  </si>
  <si>
    <t>Amanda Jenkins</t>
  </si>
  <si>
    <t>ORD10608</t>
  </si>
  <si>
    <t>Ashley Hudson</t>
  </si>
  <si>
    <t>ORD10607</t>
  </si>
  <si>
    <t>Chelsea White</t>
  </si>
  <si>
    <t>ORD10606</t>
  </si>
  <si>
    <t>Kelly Cabrera</t>
  </si>
  <si>
    <t>ORD10605</t>
  </si>
  <si>
    <t>Timothy Hicks</t>
  </si>
  <si>
    <t>ORD10604</t>
  </si>
  <si>
    <t>Ashley Kline</t>
  </si>
  <si>
    <t>ORD10603</t>
  </si>
  <si>
    <t>Jacob Jones</t>
  </si>
  <si>
    <t>ORD10602</t>
  </si>
  <si>
    <t>Joseph Cabrera</t>
  </si>
  <si>
    <t>ORD10601</t>
  </si>
  <si>
    <t>Randall Nolan</t>
  </si>
  <si>
    <t>ORD10600</t>
  </si>
  <si>
    <t>Sheryl Oconnell</t>
  </si>
  <si>
    <t>ORD10599</t>
  </si>
  <si>
    <t>Jonathan Wong</t>
  </si>
  <si>
    <t>ORD10598</t>
  </si>
  <si>
    <t>Megan Fox</t>
  </si>
  <si>
    <t>ORD10597</t>
  </si>
  <si>
    <t>Andrew Lowe</t>
  </si>
  <si>
    <t>ORD10596</t>
  </si>
  <si>
    <t>Kelly Jennings</t>
  </si>
  <si>
    <t>ORD10595</t>
  </si>
  <si>
    <t>Patricia Ryan</t>
  </si>
  <si>
    <t>ORD10594</t>
  </si>
  <si>
    <t>David Huang</t>
  </si>
  <si>
    <t>ORD10593</t>
  </si>
  <si>
    <t>Jeffery Lozano</t>
  </si>
  <si>
    <t>ORD10592</t>
  </si>
  <si>
    <t>Ryan Massey</t>
  </si>
  <si>
    <t>ORD10591</t>
  </si>
  <si>
    <t>David Underwood</t>
  </si>
  <si>
    <t>ORD10590</t>
  </si>
  <si>
    <t>Eric Thomas</t>
  </si>
  <si>
    <t>ORD10589</t>
  </si>
  <si>
    <t>Wanda James</t>
  </si>
  <si>
    <t>ORD10588</t>
  </si>
  <si>
    <t>Janice Morris</t>
  </si>
  <si>
    <t>ORD10587</t>
  </si>
  <si>
    <t>Harold Gomez</t>
  </si>
  <si>
    <t>ORD10586</t>
  </si>
  <si>
    <t>Jamie Chavez</t>
  </si>
  <si>
    <t>ORD10585</t>
  </si>
  <si>
    <t>Samuel Ramirez</t>
  </si>
  <si>
    <t>ORD10584</t>
  </si>
  <si>
    <t>Autumn Sanders</t>
  </si>
  <si>
    <t>ORD10583</t>
  </si>
  <si>
    <t>Seth Smith</t>
  </si>
  <si>
    <t>ORD10582</t>
  </si>
  <si>
    <t>Debra Mccoy DDS</t>
  </si>
  <si>
    <t>ORD10581</t>
  </si>
  <si>
    <t>Nancy Paul</t>
  </si>
  <si>
    <t>ORD10580</t>
  </si>
  <si>
    <t>Leslie Hill</t>
  </si>
  <si>
    <t>ORD10579</t>
  </si>
  <si>
    <t>George Gomez</t>
  </si>
  <si>
    <t>ORD10578</t>
  </si>
  <si>
    <t>Virginia Byrd</t>
  </si>
  <si>
    <t>ORD10577</t>
  </si>
  <si>
    <t>Jeremiah Moss</t>
  </si>
  <si>
    <t>ORD10576</t>
  </si>
  <si>
    <t>Hannah Sandoval</t>
  </si>
  <si>
    <t>ORD10575</t>
  </si>
  <si>
    <t>Mrs. Patricia Moore</t>
  </si>
  <si>
    <t>ORD10574</t>
  </si>
  <si>
    <t>Gabriel Nelson</t>
  </si>
  <si>
    <t>ORD10573</t>
  </si>
  <si>
    <t>Harold Atkins</t>
  </si>
  <si>
    <t>ORD10572</t>
  </si>
  <si>
    <t>Joshua Montes</t>
  </si>
  <si>
    <t>ORD10571</t>
  </si>
  <si>
    <t>Eric Allen</t>
  </si>
  <si>
    <t>ORD10570</t>
  </si>
  <si>
    <t>Steven Torres</t>
  </si>
  <si>
    <t>ORD10569</t>
  </si>
  <si>
    <t>Marie Harris</t>
  </si>
  <si>
    <t>ORD10568</t>
  </si>
  <si>
    <t>Donna Gibson</t>
  </si>
  <si>
    <t>ORD10567</t>
  </si>
  <si>
    <t>Dwayne Sanchez</t>
  </si>
  <si>
    <t>ORD10566</t>
  </si>
  <si>
    <t>Jorge Mcclure</t>
  </si>
  <si>
    <t>ORD10565</t>
  </si>
  <si>
    <t>John Ferguson</t>
  </si>
  <si>
    <t>ORD10564</t>
  </si>
  <si>
    <t>Tyler Mccall</t>
  </si>
  <si>
    <t>ORD10563</t>
  </si>
  <si>
    <t>Eric Holland</t>
  </si>
  <si>
    <t>ORD10562</t>
  </si>
  <si>
    <t>Joseph Hamilton</t>
  </si>
  <si>
    <t>ORD10561</t>
  </si>
  <si>
    <t>Renee Johnson</t>
  </si>
  <si>
    <t>ORD10560</t>
  </si>
  <si>
    <t>Deborah Gregory</t>
  </si>
  <si>
    <t>ORD10559</t>
  </si>
  <si>
    <t>Valerie Williams</t>
  </si>
  <si>
    <t>ORD10558</t>
  </si>
  <si>
    <t>Taylor Schultz</t>
  </si>
  <si>
    <t>ORD10557</t>
  </si>
  <si>
    <t>Courtney Fisher</t>
  </si>
  <si>
    <t>ORD10556</t>
  </si>
  <si>
    <t>Andrea Hamilton</t>
  </si>
  <si>
    <t>ORD10555</t>
  </si>
  <si>
    <t>Mary Smith</t>
  </si>
  <si>
    <t>ORD10554</t>
  </si>
  <si>
    <t>Tina Michael</t>
  </si>
  <si>
    <t>ORD10553</t>
  </si>
  <si>
    <t>James Hoffman</t>
  </si>
  <si>
    <t>ORD10552</t>
  </si>
  <si>
    <t>Sarah Elliott</t>
  </si>
  <si>
    <t>ORD10551</t>
  </si>
  <si>
    <t>Gina Allen</t>
  </si>
  <si>
    <t>ORD10550</t>
  </si>
  <si>
    <t>Kelly Foster</t>
  </si>
  <si>
    <t>ORD10549</t>
  </si>
  <si>
    <t>Mark Benson</t>
  </si>
  <si>
    <t>ORD10548</t>
  </si>
  <si>
    <t>Nicole Martin</t>
  </si>
  <si>
    <t>ORD10547</t>
  </si>
  <si>
    <t>Crystal Perez</t>
  </si>
  <si>
    <t>ORD10546</t>
  </si>
  <si>
    <t>Bryan Sullivan</t>
  </si>
  <si>
    <t>ORD10545</t>
  </si>
  <si>
    <t>John Willis</t>
  </si>
  <si>
    <t>ORD10544</t>
  </si>
  <si>
    <t>Sean Love</t>
  </si>
  <si>
    <t>ORD10543</t>
  </si>
  <si>
    <t>Julie Allen</t>
  </si>
  <si>
    <t>ORD10542</t>
  </si>
  <si>
    <t>Chloe Smith</t>
  </si>
  <si>
    <t>ORD10541</t>
  </si>
  <si>
    <t>Tina Smith</t>
  </si>
  <si>
    <t>ORD10540</t>
  </si>
  <si>
    <t>Clarence Garcia</t>
  </si>
  <si>
    <t>ORD10539</t>
  </si>
  <si>
    <t>Brandy Sanchez</t>
  </si>
  <si>
    <t>ORD10538</t>
  </si>
  <si>
    <t>Kathleen Palmer</t>
  </si>
  <si>
    <t>ORD10537</t>
  </si>
  <si>
    <t>Stephanie Carter</t>
  </si>
  <si>
    <t>ORD10536</t>
  </si>
  <si>
    <t>Erica Dawson</t>
  </si>
  <si>
    <t>ORD10535</t>
  </si>
  <si>
    <t>Howard Sanchez</t>
  </si>
  <si>
    <t>ORD10534</t>
  </si>
  <si>
    <t>Joseph Griffin</t>
  </si>
  <si>
    <t>ORD10533</t>
  </si>
  <si>
    <t>Michael Andrews</t>
  </si>
  <si>
    <t>ORD10532</t>
  </si>
  <si>
    <t>Danielle Hart</t>
  </si>
  <si>
    <t>ORD10531</t>
  </si>
  <si>
    <t>Thomas Woods</t>
  </si>
  <si>
    <t>ORD10530</t>
  </si>
  <si>
    <t>Mark Dougherty</t>
  </si>
  <si>
    <t>ORD10529</t>
  </si>
  <si>
    <t>Amy Cochran</t>
  </si>
  <si>
    <t>ORD10528</t>
  </si>
  <si>
    <t>Michael Stone</t>
  </si>
  <si>
    <t>ORD10527</t>
  </si>
  <si>
    <t>Robin Aguilar</t>
  </si>
  <si>
    <t>ORD10526</t>
  </si>
  <si>
    <t>Casey Taylor</t>
  </si>
  <si>
    <t>ORD10525</t>
  </si>
  <si>
    <t>Brandon Franklin</t>
  </si>
  <si>
    <t>ORD10524</t>
  </si>
  <si>
    <t>Crystal Thompson</t>
  </si>
  <si>
    <t>ORD10523</t>
  </si>
  <si>
    <t>Kenneth Taylor</t>
  </si>
  <si>
    <t>ORD10522</t>
  </si>
  <si>
    <t>Ian Williams</t>
  </si>
  <si>
    <t>ORD10521</t>
  </si>
  <si>
    <t>Jessica Clarke</t>
  </si>
  <si>
    <t>ORD10520</t>
  </si>
  <si>
    <t>Alexis Roman</t>
  </si>
  <si>
    <t>ORD10519</t>
  </si>
  <si>
    <t>Ronnie Good</t>
  </si>
  <si>
    <t>ORD10518</t>
  </si>
  <si>
    <t>Anne Roberts</t>
  </si>
  <si>
    <t>ORD10517</t>
  </si>
  <si>
    <t>Jackson Ritter</t>
  </si>
  <si>
    <t>ORD10516</t>
  </si>
  <si>
    <t>Sara Wilson</t>
  </si>
  <si>
    <t>ORD10515</t>
  </si>
  <si>
    <t>Steven Barnett</t>
  </si>
  <si>
    <t>ORD10514</t>
  </si>
  <si>
    <t>Evan Leach Jr.</t>
  </si>
  <si>
    <t>ORD10513</t>
  </si>
  <si>
    <t>Elizabeth Brock</t>
  </si>
  <si>
    <t>ORD10512</t>
  </si>
  <si>
    <t>Jason Moore</t>
  </si>
  <si>
    <t>ORD10511</t>
  </si>
  <si>
    <t>Steve Gonzales</t>
  </si>
  <si>
    <t>ORD10510</t>
  </si>
  <si>
    <t>Daniel Brown</t>
  </si>
  <si>
    <t>ORD10509</t>
  </si>
  <si>
    <t>David Wilson</t>
  </si>
  <si>
    <t>ORD10508</t>
  </si>
  <si>
    <t>Lori Chavez</t>
  </si>
  <si>
    <t>ORD10507</t>
  </si>
  <si>
    <t>Tina Howe</t>
  </si>
  <si>
    <t>ORD10506</t>
  </si>
  <si>
    <t>Sharon Oneal</t>
  </si>
  <si>
    <t>ORD10505</t>
  </si>
  <si>
    <t>Brooke Wall</t>
  </si>
  <si>
    <t>ORD10504</t>
  </si>
  <si>
    <t>Alexandria Love</t>
  </si>
  <si>
    <t>ORD10503</t>
  </si>
  <si>
    <t>Jeremy Aguirre</t>
  </si>
  <si>
    <t>ORD10502</t>
  </si>
  <si>
    <t>David Martinez</t>
  </si>
  <si>
    <t>ORD10501</t>
  </si>
  <si>
    <t>Jessica Delgado</t>
  </si>
  <si>
    <t>ORD10500</t>
  </si>
  <si>
    <t>Teresa Rhodes</t>
  </si>
  <si>
    <t>ORD10499</t>
  </si>
  <si>
    <t>Karen Garcia</t>
  </si>
  <si>
    <t>ORD10498</t>
  </si>
  <si>
    <t>Richard Mckinney</t>
  </si>
  <si>
    <t>ORD10497</t>
  </si>
  <si>
    <t>Juan Johnson</t>
  </si>
  <si>
    <t>ORD10496</t>
  </si>
  <si>
    <t>Courtney Johnson MD</t>
  </si>
  <si>
    <t>ORD10495</t>
  </si>
  <si>
    <t>Samuel Watson</t>
  </si>
  <si>
    <t>ORD10494</t>
  </si>
  <si>
    <t>Tina Santiago</t>
  </si>
  <si>
    <t>ORD10493</t>
  </si>
  <si>
    <t>Ann Flores</t>
  </si>
  <si>
    <t>ORD10492</t>
  </si>
  <si>
    <t>Kyle Sanders</t>
  </si>
  <si>
    <t>ORD10491</t>
  </si>
  <si>
    <t>Katelyn Singleton</t>
  </si>
  <si>
    <t>ORD10490</t>
  </si>
  <si>
    <t>Anthony Grant</t>
  </si>
  <si>
    <t>ORD10489</t>
  </si>
  <si>
    <t>Gina Vang</t>
  </si>
  <si>
    <t>ORD10488</t>
  </si>
  <si>
    <t>Sabrina Richmond</t>
  </si>
  <si>
    <t>ORD10487</t>
  </si>
  <si>
    <t>Diana Davis</t>
  </si>
  <si>
    <t>ORD10486</t>
  </si>
  <si>
    <t>Katelyn Bradley</t>
  </si>
  <si>
    <t>ORD10485</t>
  </si>
  <si>
    <t>Alicia Johnson</t>
  </si>
  <si>
    <t>ORD10484</t>
  </si>
  <si>
    <t>Ethan Johnson</t>
  </si>
  <si>
    <t>ORD10483</t>
  </si>
  <si>
    <t>Brian Chen</t>
  </si>
  <si>
    <t>ORD10482</t>
  </si>
  <si>
    <t>Danielle Livingston</t>
  </si>
  <si>
    <t>ORD10481</t>
  </si>
  <si>
    <t>Justin Powell</t>
  </si>
  <si>
    <t>ORD10480</t>
  </si>
  <si>
    <t>Brandon Shaffer</t>
  </si>
  <si>
    <t>ORD10479</t>
  </si>
  <si>
    <t>Karen Lawrence</t>
  </si>
  <si>
    <t>ORD10478</t>
  </si>
  <si>
    <t>Joseph Green</t>
  </si>
  <si>
    <t>ORD10477</t>
  </si>
  <si>
    <t>Robert Barton</t>
  </si>
  <si>
    <t>ORD10476</t>
  </si>
  <si>
    <t>Alexandra Cruz</t>
  </si>
  <si>
    <t>ORD10475</t>
  </si>
  <si>
    <t>Julie Clark</t>
  </si>
  <si>
    <t>ORD10474</t>
  </si>
  <si>
    <t>Vickie Collins</t>
  </si>
  <si>
    <t>ORD10473</t>
  </si>
  <si>
    <t>Rebecca Gonzalez</t>
  </si>
  <si>
    <t>ORD10472</t>
  </si>
  <si>
    <t>Kathryn Nichols</t>
  </si>
  <si>
    <t>ORD10471</t>
  </si>
  <si>
    <t>Samuel Roman</t>
  </si>
  <si>
    <t>ORD10470</t>
  </si>
  <si>
    <t>Steven Haney</t>
  </si>
  <si>
    <t>ORD10469</t>
  </si>
  <si>
    <t>Stacy Williams</t>
  </si>
  <si>
    <t>ORD10468</t>
  </si>
  <si>
    <t>Derrick Moore</t>
  </si>
  <si>
    <t>ORD10467</t>
  </si>
  <si>
    <t>Rhonda Campbell</t>
  </si>
  <si>
    <t>ORD10466</t>
  </si>
  <si>
    <t>James Bennett</t>
  </si>
  <si>
    <t>ORD10465</t>
  </si>
  <si>
    <t>Elizabeth Patterson</t>
  </si>
  <si>
    <t>ORD10464</t>
  </si>
  <si>
    <t>Molly Smith</t>
  </si>
  <si>
    <t>ORD10463</t>
  </si>
  <si>
    <t>Michele Wilcox</t>
  </si>
  <si>
    <t>ORD10462</t>
  </si>
  <si>
    <t>Felicia Ramirez</t>
  </si>
  <si>
    <t>ORD10461</t>
  </si>
  <si>
    <t>Richard Duffy</t>
  </si>
  <si>
    <t>ORD10460</t>
  </si>
  <si>
    <t>Carly Pham</t>
  </si>
  <si>
    <t>ORD10459</t>
  </si>
  <si>
    <t>Brianna Salinas</t>
  </si>
  <si>
    <t>ORD10458</t>
  </si>
  <si>
    <t>Travis Luna</t>
  </si>
  <si>
    <t>ORD10457</t>
  </si>
  <si>
    <t>Scott Tucker</t>
  </si>
  <si>
    <t>ORD10456</t>
  </si>
  <si>
    <t>Jasmine Edwards</t>
  </si>
  <si>
    <t>ORD10455</t>
  </si>
  <si>
    <t>Adrian Curtis</t>
  </si>
  <si>
    <t>ORD10454</t>
  </si>
  <si>
    <t>Susan Williams</t>
  </si>
  <si>
    <t>ORD10453</t>
  </si>
  <si>
    <t>Michelle Murray</t>
  </si>
  <si>
    <t>ORD10452</t>
  </si>
  <si>
    <t>Brianna Malone</t>
  </si>
  <si>
    <t>ORD10451</t>
  </si>
  <si>
    <t>Anthony Schroeder</t>
  </si>
  <si>
    <t>ORD10450</t>
  </si>
  <si>
    <t>Keith Hayes</t>
  </si>
  <si>
    <t>ORD10449</t>
  </si>
  <si>
    <t>Sean Anderson</t>
  </si>
  <si>
    <t>ORD10448</t>
  </si>
  <si>
    <t>Michael Martinez</t>
  </si>
  <si>
    <t>ORD10447</t>
  </si>
  <si>
    <t>Steven Sims</t>
  </si>
  <si>
    <t>ORD10446</t>
  </si>
  <si>
    <t>Jason Garcia</t>
  </si>
  <si>
    <t>ORD10445</t>
  </si>
  <si>
    <t>Wendy Hopkins</t>
  </si>
  <si>
    <t>ORD10444</t>
  </si>
  <si>
    <t>Jill Smith</t>
  </si>
  <si>
    <t>ORD10443</t>
  </si>
  <si>
    <t>Mr. Roger Ayala MD</t>
  </si>
  <si>
    <t>ORD10442</t>
  </si>
  <si>
    <t>Martin Peck</t>
  </si>
  <si>
    <t>ORD10441</t>
  </si>
  <si>
    <t>Cathy Johnson</t>
  </si>
  <si>
    <t>ORD10440</t>
  </si>
  <si>
    <t>Rachel Hart</t>
  </si>
  <si>
    <t>ORD10439</t>
  </si>
  <si>
    <t>Timothy Smith</t>
  </si>
  <si>
    <t>ORD10438</t>
  </si>
  <si>
    <t>Christopher Johnson</t>
  </si>
  <si>
    <t>ORD10437</t>
  </si>
  <si>
    <t>Mark Garrett</t>
  </si>
  <si>
    <t>ORD10436</t>
  </si>
  <si>
    <t>Linda Becker</t>
  </si>
  <si>
    <t>ORD10435</t>
  </si>
  <si>
    <t>Jamie Thomas</t>
  </si>
  <si>
    <t>ORD10434</t>
  </si>
  <si>
    <t>Mary Mccormick</t>
  </si>
  <si>
    <t>ORD10433</t>
  </si>
  <si>
    <t>Anthony Short</t>
  </si>
  <si>
    <t>ORD10432</t>
  </si>
  <si>
    <t>Kimberly Williams</t>
  </si>
  <si>
    <t>ORD10431</t>
  </si>
  <si>
    <t>Zachary Ross</t>
  </si>
  <si>
    <t>ORD10430</t>
  </si>
  <si>
    <t>Micheal Anderson</t>
  </si>
  <si>
    <t>ORD10429</t>
  </si>
  <si>
    <t>Mary Conner</t>
  </si>
  <si>
    <t>ORD10428</t>
  </si>
  <si>
    <t>William Salas</t>
  </si>
  <si>
    <t>ORD10427</t>
  </si>
  <si>
    <t>Eileen Carey</t>
  </si>
  <si>
    <t>ORD10426</t>
  </si>
  <si>
    <t>Glenn King</t>
  </si>
  <si>
    <t>ORD10425</t>
  </si>
  <si>
    <t>Joseph Townsend</t>
  </si>
  <si>
    <t>ORD10424</t>
  </si>
  <si>
    <t>Brandon Hopkins</t>
  </si>
  <si>
    <t>ORD10423</t>
  </si>
  <si>
    <t>Amanda Robbins</t>
  </si>
  <si>
    <t>ORD10422</t>
  </si>
  <si>
    <t>Anna Washington</t>
  </si>
  <si>
    <t>ORD10421</t>
  </si>
  <si>
    <t>Angel Doyle</t>
  </si>
  <si>
    <t>ORD10420</t>
  </si>
  <si>
    <t>Mark Fields</t>
  </si>
  <si>
    <t>ORD10419</t>
  </si>
  <si>
    <t>John Simmons</t>
  </si>
  <si>
    <t>ORD10418</t>
  </si>
  <si>
    <t>Julie Hart</t>
  </si>
  <si>
    <t>ORD10417</t>
  </si>
  <si>
    <t>Kyle Navarro</t>
  </si>
  <si>
    <t>ORD10416</t>
  </si>
  <si>
    <t>Charles Henry</t>
  </si>
  <si>
    <t>ORD10415</t>
  </si>
  <si>
    <t>Kara Grant</t>
  </si>
  <si>
    <t>ORD10414</t>
  </si>
  <si>
    <t>Kristen Baker</t>
  </si>
  <si>
    <t>ORD10413</t>
  </si>
  <si>
    <t>Blake Combs</t>
  </si>
  <si>
    <t>ORD10412</t>
  </si>
  <si>
    <t>Sara Gonzalez</t>
  </si>
  <si>
    <t>ORD10411</t>
  </si>
  <si>
    <t>Ann Valenzuela</t>
  </si>
  <si>
    <t>ORD10410</t>
  </si>
  <si>
    <t>Carol Vance</t>
  </si>
  <si>
    <t>ORD10409</t>
  </si>
  <si>
    <t>Richard Clark</t>
  </si>
  <si>
    <t>ORD10408</t>
  </si>
  <si>
    <t>Charles Hall</t>
  </si>
  <si>
    <t>ORD10407</t>
  </si>
  <si>
    <t>Benjamin Carter</t>
  </si>
  <si>
    <t>ORD10406</t>
  </si>
  <si>
    <t>Madeline Smith</t>
  </si>
  <si>
    <t>ORD10405</t>
  </si>
  <si>
    <t>Erika Bender</t>
  </si>
  <si>
    <t>ORD10404</t>
  </si>
  <si>
    <t>Sarah Brown</t>
  </si>
  <si>
    <t>ORD10403</t>
  </si>
  <si>
    <t>Mr. Bradley Prince</t>
  </si>
  <si>
    <t>ORD10402</t>
  </si>
  <si>
    <t>David Turner</t>
  </si>
  <si>
    <t>ORD10401</t>
  </si>
  <si>
    <t>Karen Trujillo</t>
  </si>
  <si>
    <t>ORD10400</t>
  </si>
  <si>
    <t>Michael Mcdaniel</t>
  </si>
  <si>
    <t>ORD10399</t>
  </si>
  <si>
    <t>Roy Kelly</t>
  </si>
  <si>
    <t>ORD10398</t>
  </si>
  <si>
    <t>Zachary Wolf</t>
  </si>
  <si>
    <t>ORD10397</t>
  </si>
  <si>
    <t>Mark Cardenas</t>
  </si>
  <si>
    <t>ORD10396</t>
  </si>
  <si>
    <t>Michelle Briggs</t>
  </si>
  <si>
    <t>ORD10395</t>
  </si>
  <si>
    <t>Rhonda Walters</t>
  </si>
  <si>
    <t>ORD10394</t>
  </si>
  <si>
    <t>Tonya Murray MD</t>
  </si>
  <si>
    <t>ORD10393</t>
  </si>
  <si>
    <t>James Mckay</t>
  </si>
  <si>
    <t>ORD10392</t>
  </si>
  <si>
    <t>Heather Baker</t>
  </si>
  <si>
    <t>ORD10391</t>
  </si>
  <si>
    <t>Benjamin Sexton</t>
  </si>
  <si>
    <t>ORD10390</t>
  </si>
  <si>
    <t>Mrs. Amy Hill</t>
  </si>
  <si>
    <t>ORD10389</t>
  </si>
  <si>
    <t>Jose Cantu</t>
  </si>
  <si>
    <t>ORD10388</t>
  </si>
  <si>
    <t>Travis Clark</t>
  </si>
  <si>
    <t>ORD10387</t>
  </si>
  <si>
    <t>Ricky Wood</t>
  </si>
  <si>
    <t>ORD10386</t>
  </si>
  <si>
    <t>Kimberly Love</t>
  </si>
  <si>
    <t>ORD10385</t>
  </si>
  <si>
    <t>Christina Bailey</t>
  </si>
  <si>
    <t>ORD10384</t>
  </si>
  <si>
    <t>Joshua Martin</t>
  </si>
  <si>
    <t>ORD10383</t>
  </si>
  <si>
    <t>Ronnie Odonnell</t>
  </si>
  <si>
    <t>ORD10382</t>
  </si>
  <si>
    <t>Catherine Pena</t>
  </si>
  <si>
    <t>ORD10381</t>
  </si>
  <si>
    <t>Scott Holmes</t>
  </si>
  <si>
    <t>ORD10380</t>
  </si>
  <si>
    <t>Danielle Henderson</t>
  </si>
  <si>
    <t>ORD10379</t>
  </si>
  <si>
    <t>Dana Ross</t>
  </si>
  <si>
    <t>ORD10378</t>
  </si>
  <si>
    <t>Erik Fuller</t>
  </si>
  <si>
    <t>ORD10377</t>
  </si>
  <si>
    <t>Crystal White</t>
  </si>
  <si>
    <t>ORD10376</t>
  </si>
  <si>
    <t>Sheryl Schroeder</t>
  </si>
  <si>
    <t>ORD10375</t>
  </si>
  <si>
    <t>Maria Singleton</t>
  </si>
  <si>
    <t>ORD10374</t>
  </si>
  <si>
    <t>Susan Jordan</t>
  </si>
  <si>
    <t>ORD10373</t>
  </si>
  <si>
    <t>David Rojas</t>
  </si>
  <si>
    <t>ORD10372</t>
  </si>
  <si>
    <t>Kathryn Chen</t>
  </si>
  <si>
    <t>ORD10371</t>
  </si>
  <si>
    <t>Adam Dickerson</t>
  </si>
  <si>
    <t>ORD10370</t>
  </si>
  <si>
    <t>Ashley Clark</t>
  </si>
  <si>
    <t>ORD10369</t>
  </si>
  <si>
    <t>Edward Hill</t>
  </si>
  <si>
    <t>ORD10368</t>
  </si>
  <si>
    <t>James Terrell</t>
  </si>
  <si>
    <t>ORD10367</t>
  </si>
  <si>
    <t>Monica Garcia</t>
  </si>
  <si>
    <t>ORD10366</t>
  </si>
  <si>
    <t>David Sosa</t>
  </si>
  <si>
    <t>ORD10365</t>
  </si>
  <si>
    <t>David Nguyen</t>
  </si>
  <si>
    <t>ORD10364</t>
  </si>
  <si>
    <t>Samantha Williamson</t>
  </si>
  <si>
    <t>ORD10363</t>
  </si>
  <si>
    <t>Cynthia Lee</t>
  </si>
  <si>
    <t>ORD10362</t>
  </si>
  <si>
    <t>David Cook</t>
  </si>
  <si>
    <t>ORD10361</t>
  </si>
  <si>
    <t>Carolyn Gonzales</t>
  </si>
  <si>
    <t>ORD10360</t>
  </si>
  <si>
    <t>Shawna Cole</t>
  </si>
  <si>
    <t>ORD10359</t>
  </si>
  <si>
    <t>Maria Bailey</t>
  </si>
  <si>
    <t>ORD10358</t>
  </si>
  <si>
    <t>Beth Wheeler</t>
  </si>
  <si>
    <t>ORD10357</t>
  </si>
  <si>
    <t>Jamie Henson</t>
  </si>
  <si>
    <t>ORD10356</t>
  </si>
  <si>
    <t>Eric Patterson</t>
  </si>
  <si>
    <t>ORD10355</t>
  </si>
  <si>
    <t>Angelica Beasley</t>
  </si>
  <si>
    <t>ORD10354</t>
  </si>
  <si>
    <t>Brandon Mcfarland</t>
  </si>
  <si>
    <t>ORD10353</t>
  </si>
  <si>
    <t>Melissa Buchanan</t>
  </si>
  <si>
    <t>ORD10352</t>
  </si>
  <si>
    <t>Todd Wang</t>
  </si>
  <si>
    <t>ORD10351</t>
  </si>
  <si>
    <t>Daniel Lyons</t>
  </si>
  <si>
    <t>ORD10350</t>
  </si>
  <si>
    <t>Kaylee Lane</t>
  </si>
  <si>
    <t>ORD10349</t>
  </si>
  <si>
    <t>Robert Lopez MD</t>
  </si>
  <si>
    <t>ORD10348</t>
  </si>
  <si>
    <t>Amy Bailey</t>
  </si>
  <si>
    <t>ORD10347</t>
  </si>
  <si>
    <t>Aaron Harris</t>
  </si>
  <si>
    <t>ORD10346</t>
  </si>
  <si>
    <t>Samantha Andrews</t>
  </si>
  <si>
    <t>ORD10345</t>
  </si>
  <si>
    <t>Michael Medina</t>
  </si>
  <si>
    <t>ORD10344</t>
  </si>
  <si>
    <t>Amanda Stone</t>
  </si>
  <si>
    <t>ORD10343</t>
  </si>
  <si>
    <t>Sarah Montgomery</t>
  </si>
  <si>
    <t>ORD10342</t>
  </si>
  <si>
    <t>Isabel Flores</t>
  </si>
  <si>
    <t>ORD10341</t>
  </si>
  <si>
    <t>Gregory Conrad</t>
  </si>
  <si>
    <t>ORD10340</t>
  </si>
  <si>
    <t>Christine Flores</t>
  </si>
  <si>
    <t>ORD10339</t>
  </si>
  <si>
    <t>Karen Anderson</t>
  </si>
  <si>
    <t>ORD10338</t>
  </si>
  <si>
    <t>Madison Bryan</t>
  </si>
  <si>
    <t>ORD10337</t>
  </si>
  <si>
    <t>Andrew Avery</t>
  </si>
  <si>
    <t>ORD10336</t>
  </si>
  <si>
    <t>Terry Rodriguez</t>
  </si>
  <si>
    <t>ORD10335</t>
  </si>
  <si>
    <t>Mary Hobbs</t>
  </si>
  <si>
    <t>ORD10334</t>
  </si>
  <si>
    <t>Heidi Roth</t>
  </si>
  <si>
    <t>ORD10333</t>
  </si>
  <si>
    <t>Barry Williams</t>
  </si>
  <si>
    <t>ORD10332</t>
  </si>
  <si>
    <t>Andrew Schwartz</t>
  </si>
  <si>
    <t>ORD10331</t>
  </si>
  <si>
    <t>Candice Madden</t>
  </si>
  <si>
    <t>ORD10330</t>
  </si>
  <si>
    <t>Brianna Johnson</t>
  </si>
  <si>
    <t>ORD10329</t>
  </si>
  <si>
    <t>Jenna Richards</t>
  </si>
  <si>
    <t>ORD10328</t>
  </si>
  <si>
    <t>Nathaniel Hudson</t>
  </si>
  <si>
    <t>ORD10327</t>
  </si>
  <si>
    <t>ORD10326</t>
  </si>
  <si>
    <t>Mary Werner</t>
  </si>
  <si>
    <t>ORD10325</t>
  </si>
  <si>
    <t>Jamie Christian</t>
  </si>
  <si>
    <t>ORD10324</t>
  </si>
  <si>
    <t>Erin Beard</t>
  </si>
  <si>
    <t>ORD10323</t>
  </si>
  <si>
    <t>Sarah Harris</t>
  </si>
  <si>
    <t>ORD10322</t>
  </si>
  <si>
    <t>Spencer Smith</t>
  </si>
  <si>
    <t>ORD10321</t>
  </si>
  <si>
    <t>Deborah May</t>
  </si>
  <si>
    <t>ORD10320</t>
  </si>
  <si>
    <t>Meghan Jennings</t>
  </si>
  <si>
    <t>ORD10319</t>
  </si>
  <si>
    <t>Sarah Dawson</t>
  </si>
  <si>
    <t>ORD10318</t>
  </si>
  <si>
    <t>Barbara Vance</t>
  </si>
  <si>
    <t>ORD10317</t>
  </si>
  <si>
    <t>Darrell Garcia</t>
  </si>
  <si>
    <t>ORD10316</t>
  </si>
  <si>
    <t>Thomas Miller</t>
  </si>
  <si>
    <t>ORD10315</t>
  </si>
  <si>
    <t>Michelle Smith</t>
  </si>
  <si>
    <t>ORD10314</t>
  </si>
  <si>
    <t>Mark Mcknight</t>
  </si>
  <si>
    <t>ORD10313</t>
  </si>
  <si>
    <t>Robin Thompson</t>
  </si>
  <si>
    <t>ORD10312</t>
  </si>
  <si>
    <t>Joseph Day</t>
  </si>
  <si>
    <t>ORD10311</t>
  </si>
  <si>
    <t>Juan Everett</t>
  </si>
  <si>
    <t>ORD10310</t>
  </si>
  <si>
    <t>Christopher Buck</t>
  </si>
  <si>
    <t>ORD10309</t>
  </si>
  <si>
    <t>Amanda Schmidt</t>
  </si>
  <si>
    <t>ORD10308</t>
  </si>
  <si>
    <t>Kelly Vasquez</t>
  </si>
  <si>
    <t>ORD10307</t>
  </si>
  <si>
    <t>Hayley Brewer</t>
  </si>
  <si>
    <t>ORD10306</t>
  </si>
  <si>
    <t>Tracy Brown</t>
  </si>
  <si>
    <t>ORD10305</t>
  </si>
  <si>
    <t>Shelby Casey</t>
  </si>
  <si>
    <t>ORD10304</t>
  </si>
  <si>
    <t>Michelle Hayes</t>
  </si>
  <si>
    <t>ORD10303</t>
  </si>
  <si>
    <t>Karen Taylor</t>
  </si>
  <si>
    <t>ORD10302</t>
  </si>
  <si>
    <t>Eric Anderson</t>
  </si>
  <si>
    <t>ORD10301</t>
  </si>
  <si>
    <t>Brian Howard</t>
  </si>
  <si>
    <t>ORD10300</t>
  </si>
  <si>
    <t>Lonnie Williams Jr.</t>
  </si>
  <si>
    <t>ORD10299</t>
  </si>
  <si>
    <t>Jose Woodard</t>
  </si>
  <si>
    <t>ORD10298</t>
  </si>
  <si>
    <t>Connie Carter</t>
  </si>
  <si>
    <t>ORD10297</t>
  </si>
  <si>
    <t>Mary Edwards</t>
  </si>
  <si>
    <t>ORD10296</t>
  </si>
  <si>
    <t>Emily Church</t>
  </si>
  <si>
    <t>ORD10295</t>
  </si>
  <si>
    <t>Patrick Williams</t>
  </si>
  <si>
    <t>ORD10294</t>
  </si>
  <si>
    <t>Gary Miller</t>
  </si>
  <si>
    <t>ORD10293</t>
  </si>
  <si>
    <t>Deborah Mooney</t>
  </si>
  <si>
    <t>ORD10292</t>
  </si>
  <si>
    <t>Joseph Gates</t>
  </si>
  <si>
    <t>ORD10291</t>
  </si>
  <si>
    <t>Lauren Khan</t>
  </si>
  <si>
    <t>ORD10290</t>
  </si>
  <si>
    <t>Scott Burch</t>
  </si>
  <si>
    <t>ORD10289</t>
  </si>
  <si>
    <t>Richard Wilson</t>
  </si>
  <si>
    <t>ORD10288</t>
  </si>
  <si>
    <t>Diana Murphy</t>
  </si>
  <si>
    <t>ORD10287</t>
  </si>
  <si>
    <t>Andrew White</t>
  </si>
  <si>
    <t>ORD10286</t>
  </si>
  <si>
    <t>Kevin Gilbert</t>
  </si>
  <si>
    <t>ORD10285</t>
  </si>
  <si>
    <t>Joyce King</t>
  </si>
  <si>
    <t>ORD10284</t>
  </si>
  <si>
    <t>Caitlin Mosley</t>
  </si>
  <si>
    <t>ORD10283</t>
  </si>
  <si>
    <t>Connie Whitaker</t>
  </si>
  <si>
    <t>ORD10282</t>
  </si>
  <si>
    <t>Tyler Moon Jr.</t>
  </si>
  <si>
    <t>ORD10281</t>
  </si>
  <si>
    <t>Monique Briggs MD</t>
  </si>
  <si>
    <t>ORD10280</t>
  </si>
  <si>
    <t>Rachel Johnson</t>
  </si>
  <si>
    <t>ORD10279</t>
  </si>
  <si>
    <t>Amy Gordon</t>
  </si>
  <si>
    <t>ORD10278</t>
  </si>
  <si>
    <t>Thomas Edwards</t>
  </si>
  <si>
    <t>ORD10277</t>
  </si>
  <si>
    <t>Jordan Williams</t>
  </si>
  <si>
    <t>ORD10276</t>
  </si>
  <si>
    <t>Ian Diaz</t>
  </si>
  <si>
    <t>ORD10275</t>
  </si>
  <si>
    <t>Christopher Kennedy</t>
  </si>
  <si>
    <t>ORD10274</t>
  </si>
  <si>
    <t>Jeremy Montgomery</t>
  </si>
  <si>
    <t>ORD10273</t>
  </si>
  <si>
    <t>Cassandra Smith</t>
  </si>
  <si>
    <t>ORD10272</t>
  </si>
  <si>
    <t>Jessica Hopkins</t>
  </si>
  <si>
    <t>ORD10271</t>
  </si>
  <si>
    <t>Paula Banks</t>
  </si>
  <si>
    <t>ORD10270</t>
  </si>
  <si>
    <t>Autumn Greene</t>
  </si>
  <si>
    <t>ORD10269</t>
  </si>
  <si>
    <t>Sarah Chambers</t>
  </si>
  <si>
    <t>ORD10268</t>
  </si>
  <si>
    <t>Nathaniel Merritt</t>
  </si>
  <si>
    <t>ORD10267</t>
  </si>
  <si>
    <t>Brooke Howard</t>
  </si>
  <si>
    <t>ORD10266</t>
  </si>
  <si>
    <t>Catherine Robinson</t>
  </si>
  <si>
    <t>ORD10265</t>
  </si>
  <si>
    <t>Lisa Mendez</t>
  </si>
  <si>
    <t>ORD10264</t>
  </si>
  <si>
    <t>Samantha Martin</t>
  </si>
  <si>
    <t>ORD10263</t>
  </si>
  <si>
    <t>Mallory Miller</t>
  </si>
  <si>
    <t>ORD10262</t>
  </si>
  <si>
    <t>Vanessa Webb</t>
  </si>
  <si>
    <t>ORD10261</t>
  </si>
  <si>
    <t>Regina Turner</t>
  </si>
  <si>
    <t>ORD10260</t>
  </si>
  <si>
    <t>Ashley Henry</t>
  </si>
  <si>
    <t>ORD10259</t>
  </si>
  <si>
    <t>Gregory Martin</t>
  </si>
  <si>
    <t>ORD10258</t>
  </si>
  <si>
    <t>Marcus Wood</t>
  </si>
  <si>
    <t>ORD10257</t>
  </si>
  <si>
    <t>Charles Drake</t>
  </si>
  <si>
    <t>ORD10256</t>
  </si>
  <si>
    <t>Julia Martin</t>
  </si>
  <si>
    <t>ORD10255</t>
  </si>
  <si>
    <t>Brian Davis</t>
  </si>
  <si>
    <t>ORD10254</t>
  </si>
  <si>
    <t>Christina Smith</t>
  </si>
  <si>
    <t>ORD10253</t>
  </si>
  <si>
    <t>Rebekah Newman</t>
  </si>
  <si>
    <t>ORD10252</t>
  </si>
  <si>
    <t>Heather Butler</t>
  </si>
  <si>
    <t>ORD10251</t>
  </si>
  <si>
    <t>Jennifer Williams</t>
  </si>
  <si>
    <t>ORD10250</t>
  </si>
  <si>
    <t>Michael Ortiz</t>
  </si>
  <si>
    <t>ORD10249</t>
  </si>
  <si>
    <t>Brittany Ferguson</t>
  </si>
  <si>
    <t>ORD10248</t>
  </si>
  <si>
    <t>Amy Garcia</t>
  </si>
  <si>
    <t>ORD10247</t>
  </si>
  <si>
    <t>Angela Johnson</t>
  </si>
  <si>
    <t>ORD10246</t>
  </si>
  <si>
    <t>Garrett Gregory</t>
  </si>
  <si>
    <t>ORD10245</t>
  </si>
  <si>
    <t>Nicholas Sloan</t>
  </si>
  <si>
    <t>ORD10244</t>
  </si>
  <si>
    <t>Gerald Williams</t>
  </si>
  <si>
    <t>ORD10243</t>
  </si>
  <si>
    <t>Kyle Harvey</t>
  </si>
  <si>
    <t>ORD10242</t>
  </si>
  <si>
    <t>Patricia Ortega</t>
  </si>
  <si>
    <t>ORD10241</t>
  </si>
  <si>
    <t>Jacqueline Cline</t>
  </si>
  <si>
    <t>ORD10240</t>
  </si>
  <si>
    <t>Kyle Carey</t>
  </si>
  <si>
    <t>ORD10239</t>
  </si>
  <si>
    <t>Amanda Carter</t>
  </si>
  <si>
    <t>ORD10238</t>
  </si>
  <si>
    <t>Stephen Hall</t>
  </si>
  <si>
    <t>ORD10237</t>
  </si>
  <si>
    <t>Martha Ritter</t>
  </si>
  <si>
    <t>ORD10236</t>
  </si>
  <si>
    <t>David Fox</t>
  </si>
  <si>
    <t>ORD10235</t>
  </si>
  <si>
    <t>Laura Nguyen</t>
  </si>
  <si>
    <t>ORD10234</t>
  </si>
  <si>
    <t>Cody Young</t>
  </si>
  <si>
    <t>ORD10233</t>
  </si>
  <si>
    <t>Jacqueline Rojas</t>
  </si>
  <si>
    <t>ORD10232</t>
  </si>
  <si>
    <t>Penny Carter</t>
  </si>
  <si>
    <t>ORD10231</t>
  </si>
  <si>
    <t>Nicole Boone</t>
  </si>
  <si>
    <t>ORD10230</t>
  </si>
  <si>
    <t>Casey Murray</t>
  </si>
  <si>
    <t>ORD10229</t>
  </si>
  <si>
    <t>Jonathan Mckinney</t>
  </si>
  <si>
    <t>ORD10228</t>
  </si>
  <si>
    <t>Benjamin Weber</t>
  </si>
  <si>
    <t>ORD10227</t>
  </si>
  <si>
    <t>Erika Baird</t>
  </si>
  <si>
    <t>ORD10226</t>
  </si>
  <si>
    <t>Jason Banks</t>
  </si>
  <si>
    <t>ORD10225</t>
  </si>
  <si>
    <t>Angela Gonzalez</t>
  </si>
  <si>
    <t>ORD10224</t>
  </si>
  <si>
    <t>Scott Murray</t>
  </si>
  <si>
    <t>ORD10223</t>
  </si>
  <si>
    <t>Samantha Mejia</t>
  </si>
  <si>
    <t>ORD10222</t>
  </si>
  <si>
    <t>Jonathan Smith</t>
  </si>
  <si>
    <t>ORD10221</t>
  </si>
  <si>
    <t>David Jordan</t>
  </si>
  <si>
    <t>ORD10220</t>
  </si>
  <si>
    <t>John Frye</t>
  </si>
  <si>
    <t>ORD10219</t>
  </si>
  <si>
    <t>Theresa Jones</t>
  </si>
  <si>
    <t>ORD10218</t>
  </si>
  <si>
    <t>Aaron Campos</t>
  </si>
  <si>
    <t>ORD10217</t>
  </si>
  <si>
    <t>Paul Norris</t>
  </si>
  <si>
    <t>ORD10216</t>
  </si>
  <si>
    <t>Heidi Rogers</t>
  </si>
  <si>
    <t>ORD10215</t>
  </si>
  <si>
    <t>Dawn Burgess</t>
  </si>
  <si>
    <t>ORD10214</t>
  </si>
  <si>
    <t>James Marshall</t>
  </si>
  <si>
    <t>ORD10213</t>
  </si>
  <si>
    <t>Jason Cain</t>
  </si>
  <si>
    <t>ORD10212</t>
  </si>
  <si>
    <t>Frank Mclaughlin</t>
  </si>
  <si>
    <t>ORD10211</t>
  </si>
  <si>
    <t>John Watson</t>
  </si>
  <si>
    <t>ORD10210</t>
  </si>
  <si>
    <t>Ellen Brock</t>
  </si>
  <si>
    <t>ORD10209</t>
  </si>
  <si>
    <t>Victor Clark</t>
  </si>
  <si>
    <t>ORD10208</t>
  </si>
  <si>
    <t>Douglas Bell</t>
  </si>
  <si>
    <t>ORD10207</t>
  </si>
  <si>
    <t>Victoria Ramos</t>
  </si>
  <si>
    <t>ORD10206</t>
  </si>
  <si>
    <t>Amanda Beck</t>
  </si>
  <si>
    <t>ORD10205</t>
  </si>
  <si>
    <t>Connor Delgado</t>
  </si>
  <si>
    <t>ORD10204</t>
  </si>
  <si>
    <t>Morgan Bright</t>
  </si>
  <si>
    <t>ORD10203</t>
  </si>
  <si>
    <t>Cathy Cole</t>
  </si>
  <si>
    <t>ORD10202</t>
  </si>
  <si>
    <t>William Thomas</t>
  </si>
  <si>
    <t>ORD10201</t>
  </si>
  <si>
    <t>Kurt Weeks</t>
  </si>
  <si>
    <t>ORD10200</t>
  </si>
  <si>
    <t>Daniel Butler</t>
  </si>
  <si>
    <t>ORD10199</t>
  </si>
  <si>
    <t>Ashley Hanson</t>
  </si>
  <si>
    <t>ORD10198</t>
  </si>
  <si>
    <t>Crystal Walker</t>
  </si>
  <si>
    <t>ORD10197</t>
  </si>
  <si>
    <t>Jon Gonzalez</t>
  </si>
  <si>
    <t>ORD10196</t>
  </si>
  <si>
    <t>Robert Stevenson</t>
  </si>
  <si>
    <t>ORD10195</t>
  </si>
  <si>
    <t>Michelle Cox</t>
  </si>
  <si>
    <t>ORD10194</t>
  </si>
  <si>
    <t>Tammy Perez</t>
  </si>
  <si>
    <t>ORD10193</t>
  </si>
  <si>
    <t>Maria Miller</t>
  </si>
  <si>
    <t>ORD10192</t>
  </si>
  <si>
    <t>Elizabeth Johnson</t>
  </si>
  <si>
    <t>ORD10191</t>
  </si>
  <si>
    <t>David Wright</t>
  </si>
  <si>
    <t>ORD10190</t>
  </si>
  <si>
    <t>Diana Stewart DVM</t>
  </si>
  <si>
    <t>ORD10189</t>
  </si>
  <si>
    <t>Kyle Smith</t>
  </si>
  <si>
    <t>ORD10188</t>
  </si>
  <si>
    <t>Tony Lee</t>
  </si>
  <si>
    <t>ORD10187</t>
  </si>
  <si>
    <t>Melissa Rodriguez</t>
  </si>
  <si>
    <t>ORD10186</t>
  </si>
  <si>
    <t>Tonya Sims</t>
  </si>
  <si>
    <t>ORD10185</t>
  </si>
  <si>
    <t>Crystal Gillespie</t>
  </si>
  <si>
    <t>ORD10184</t>
  </si>
  <si>
    <t>Angela Frank</t>
  </si>
  <si>
    <t>ORD10183</t>
  </si>
  <si>
    <t>Mindy Holland</t>
  </si>
  <si>
    <t>ORD10182</t>
  </si>
  <si>
    <t>Christian Stanton</t>
  </si>
  <si>
    <t>ORD10181</t>
  </si>
  <si>
    <t>Valerie Wright</t>
  </si>
  <si>
    <t>ORD10180</t>
  </si>
  <si>
    <t>Benjamin Conrad DVM</t>
  </si>
  <si>
    <t>ORD10179</t>
  </si>
  <si>
    <t>Stephanie Kennedy</t>
  </si>
  <si>
    <t>ORD10178</t>
  </si>
  <si>
    <t>Tracy Martinez</t>
  </si>
  <si>
    <t>ORD10177</t>
  </si>
  <si>
    <t>Jeremy Finley</t>
  </si>
  <si>
    <t>ORD10176</t>
  </si>
  <si>
    <t>Anna Mosley</t>
  </si>
  <si>
    <t>ORD10175</t>
  </si>
  <si>
    <t>Jonathan Soto</t>
  </si>
  <si>
    <t>ORD10174</t>
  </si>
  <si>
    <t>Antonio Ramirez</t>
  </si>
  <si>
    <t>ORD10173</t>
  </si>
  <si>
    <t>Patrick Clark</t>
  </si>
  <si>
    <t>ORD10172</t>
  </si>
  <si>
    <t>Stacy Brady</t>
  </si>
  <si>
    <t>ORD10171</t>
  </si>
  <si>
    <t>Emma Richardson</t>
  </si>
  <si>
    <t>ORD10170</t>
  </si>
  <si>
    <t>Corey Davis</t>
  </si>
  <si>
    <t>ORD10169</t>
  </si>
  <si>
    <t>Gary Malone</t>
  </si>
  <si>
    <t>ORD10168</t>
  </si>
  <si>
    <t>Taylor Crawford</t>
  </si>
  <si>
    <t>ORD10167</t>
  </si>
  <si>
    <t>Barbara Day</t>
  </si>
  <si>
    <t>ORD10166</t>
  </si>
  <si>
    <t>Matthew Turner</t>
  </si>
  <si>
    <t>ORD10165</t>
  </si>
  <si>
    <t>David Rodgers</t>
  </si>
  <si>
    <t>ORD10164</t>
  </si>
  <si>
    <t>Bethany Kennedy</t>
  </si>
  <si>
    <t>ORD10163</t>
  </si>
  <si>
    <t>Sean Washington</t>
  </si>
  <si>
    <t>ORD10162</t>
  </si>
  <si>
    <t>Nicholas Hayes</t>
  </si>
  <si>
    <t>ORD10161</t>
  </si>
  <si>
    <t>Kristen Harris</t>
  </si>
  <si>
    <t>ORD10160</t>
  </si>
  <si>
    <t>Robin Mccoy</t>
  </si>
  <si>
    <t>ORD10159</t>
  </si>
  <si>
    <t>Raymond Glover</t>
  </si>
  <si>
    <t>ORD10158</t>
  </si>
  <si>
    <t>Danielle Baker</t>
  </si>
  <si>
    <t>ORD10157</t>
  </si>
  <si>
    <t>Anthony Stanley</t>
  </si>
  <si>
    <t>ORD10156</t>
  </si>
  <si>
    <t>Jeffrey Hill</t>
  </si>
  <si>
    <t>ORD10155</t>
  </si>
  <si>
    <t>James Berg</t>
  </si>
  <si>
    <t>ORD10154</t>
  </si>
  <si>
    <t>Stephanie Roberts</t>
  </si>
  <si>
    <t>ORD10153</t>
  </si>
  <si>
    <t>James Case</t>
  </si>
  <si>
    <t>ORD10152</t>
  </si>
  <si>
    <t>Ryan Smith</t>
  </si>
  <si>
    <t>ORD10151</t>
  </si>
  <si>
    <t>Nicholas Butler</t>
  </si>
  <si>
    <t>ORD10150</t>
  </si>
  <si>
    <t>Mr. Aaron Vasquez</t>
  </si>
  <si>
    <t>ORD10149</t>
  </si>
  <si>
    <t>Jacob Jimenez</t>
  </si>
  <si>
    <t>ORD10148</t>
  </si>
  <si>
    <t>Robert Hicks</t>
  </si>
  <si>
    <t>ORD10147</t>
  </si>
  <si>
    <t>Brenda Warren</t>
  </si>
  <si>
    <t>ORD10146</t>
  </si>
  <si>
    <t>Jasmine Rangel DVM</t>
  </si>
  <si>
    <t>ORD10145</t>
  </si>
  <si>
    <t>Jimmy Wilkins</t>
  </si>
  <si>
    <t>ORD10144</t>
  </si>
  <si>
    <t>Kimberly Collins MD</t>
  </si>
  <si>
    <t>ORD10143</t>
  </si>
  <si>
    <t>Julie Owens</t>
  </si>
  <si>
    <t>ORD10142</t>
  </si>
  <si>
    <t>Daniel Burns</t>
  </si>
  <si>
    <t>ORD10141</t>
  </si>
  <si>
    <t>Antonio Adams</t>
  </si>
  <si>
    <t>ORD10140</t>
  </si>
  <si>
    <t>Melissa Howell</t>
  </si>
  <si>
    <t>ORD10139</t>
  </si>
  <si>
    <t>Angela Hernandez</t>
  </si>
  <si>
    <t>ORD10138</t>
  </si>
  <si>
    <t>Donna Williams</t>
  </si>
  <si>
    <t>ORD10137</t>
  </si>
  <si>
    <t>Kathleen Reyes</t>
  </si>
  <si>
    <t>ORD10136</t>
  </si>
  <si>
    <t>Peter Hall</t>
  </si>
  <si>
    <t>ORD10135</t>
  </si>
  <si>
    <t>Darlene Jones</t>
  </si>
  <si>
    <t>ORD10134</t>
  </si>
  <si>
    <t>Anna Fox</t>
  </si>
  <si>
    <t>ORD10133</t>
  </si>
  <si>
    <t>Aaron Salinas DDS</t>
  </si>
  <si>
    <t>ORD10132</t>
  </si>
  <si>
    <t>Albert Schmidt</t>
  </si>
  <si>
    <t>ORD10131</t>
  </si>
  <si>
    <t>Brian Houston</t>
  </si>
  <si>
    <t>ORD10130</t>
  </si>
  <si>
    <t>Angela Williams</t>
  </si>
  <si>
    <t>ORD10129</t>
  </si>
  <si>
    <t>Rebecca Dawson</t>
  </si>
  <si>
    <t>ORD10128</t>
  </si>
  <si>
    <t>Sandy Ballard</t>
  </si>
  <si>
    <t>ORD10127</t>
  </si>
  <si>
    <t>Kathy Browning</t>
  </si>
  <si>
    <t>ORD10126</t>
  </si>
  <si>
    <t>Stephanie Burton</t>
  </si>
  <si>
    <t>ORD10125</t>
  </si>
  <si>
    <t>Luke Thomas</t>
  </si>
  <si>
    <t>ORD10124</t>
  </si>
  <si>
    <t>Gabriel Rollins</t>
  </si>
  <si>
    <t>ORD10123</t>
  </si>
  <si>
    <t>Steven Bowers</t>
  </si>
  <si>
    <t>ORD10122</t>
  </si>
  <si>
    <t>Kevin Rice</t>
  </si>
  <si>
    <t>ORD10121</t>
  </si>
  <si>
    <t>Jennifer Evans</t>
  </si>
  <si>
    <t>ORD10120</t>
  </si>
  <si>
    <t>Dennis Davis</t>
  </si>
  <si>
    <t>ORD10119</t>
  </si>
  <si>
    <t>Matthew Wright</t>
  </si>
  <si>
    <t>ORD10118</t>
  </si>
  <si>
    <t>Aaron James</t>
  </si>
  <si>
    <t>ORD10117</t>
  </si>
  <si>
    <t>Andrew Khan</t>
  </si>
  <si>
    <t>ORD10116</t>
  </si>
  <si>
    <t>Dennis Nixon</t>
  </si>
  <si>
    <t>ORD10115</t>
  </si>
  <si>
    <t>Amber Lopez</t>
  </si>
  <si>
    <t>ORD10114</t>
  </si>
  <si>
    <t>Meagan Campbell</t>
  </si>
  <si>
    <t>ORD10113</t>
  </si>
  <si>
    <t>Anthony Ortega</t>
  </si>
  <si>
    <t>ORD10112</t>
  </si>
  <si>
    <t>Benjamin Yang</t>
  </si>
  <si>
    <t>ORD10111</t>
  </si>
  <si>
    <t>William Holden</t>
  </si>
  <si>
    <t>ORD10110</t>
  </si>
  <si>
    <t>Ronnie Mann</t>
  </si>
  <si>
    <t>ORD10109</t>
  </si>
  <si>
    <t>Elizabeth Lewis</t>
  </si>
  <si>
    <t>ORD10108</t>
  </si>
  <si>
    <t>Jon Davenport</t>
  </si>
  <si>
    <t>ORD10107</t>
  </si>
  <si>
    <t>Jeremy Barrett</t>
  </si>
  <si>
    <t>ORD10106</t>
  </si>
  <si>
    <t>Kristen Lopez</t>
  </si>
  <si>
    <t>ORD10105</t>
  </si>
  <si>
    <t>Wendy Johnson</t>
  </si>
  <si>
    <t>ORD10104</t>
  </si>
  <si>
    <t>Jonathan Thompson</t>
  </si>
  <si>
    <t>ORD10103</t>
  </si>
  <si>
    <t>Lori Schmidt</t>
  </si>
  <si>
    <t>ORD10102</t>
  </si>
  <si>
    <t>Christopher Williams</t>
  </si>
  <si>
    <t>ORD10101</t>
  </si>
  <si>
    <t>Amanda Mckinney</t>
  </si>
  <si>
    <t>ORD10100</t>
  </si>
  <si>
    <t>Juan Mcintosh</t>
  </si>
  <si>
    <t>ORD10099</t>
  </si>
  <si>
    <t>Dennis Martinez</t>
  </si>
  <si>
    <t>ORD10098</t>
  </si>
  <si>
    <t>Rebecca Miller</t>
  </si>
  <si>
    <t>ORD10097</t>
  </si>
  <si>
    <t>Steven Adams</t>
  </si>
  <si>
    <t>ORD10096</t>
  </si>
  <si>
    <t>Ann Brown</t>
  </si>
  <si>
    <t>ORD10095</t>
  </si>
  <si>
    <t>Joshua Robertson</t>
  </si>
  <si>
    <t>ORD10094</t>
  </si>
  <si>
    <t>Thomas Fuentes</t>
  </si>
  <si>
    <t>ORD10093</t>
  </si>
  <si>
    <t>Catherine Campos</t>
  </si>
  <si>
    <t>ORD10092</t>
  </si>
  <si>
    <t>Ashley Baker</t>
  </si>
  <si>
    <t>ORD10091</t>
  </si>
  <si>
    <t>Ashley Sellers</t>
  </si>
  <si>
    <t>ORD10090</t>
  </si>
  <si>
    <t>Gary Hanson</t>
  </si>
  <si>
    <t>ORD10089</t>
  </si>
  <si>
    <t>George Ellis</t>
  </si>
  <si>
    <t>ORD10088</t>
  </si>
  <si>
    <t>Craig Flores</t>
  </si>
  <si>
    <t>ORD10087</t>
  </si>
  <si>
    <t>Michael Mcknight</t>
  </si>
  <si>
    <t>ORD10086</t>
  </si>
  <si>
    <t>John Fritz</t>
  </si>
  <si>
    <t>ORD10085</t>
  </si>
  <si>
    <t>Tracy Robinson</t>
  </si>
  <si>
    <t>ORD10084</t>
  </si>
  <si>
    <t>Maria Diaz</t>
  </si>
  <si>
    <t>ORD10083</t>
  </si>
  <si>
    <t>Rachel Prince</t>
  </si>
  <si>
    <t>ORD10082</t>
  </si>
  <si>
    <t>Michael Patterson</t>
  </si>
  <si>
    <t>ORD10081</t>
  </si>
  <si>
    <t>Breanna Martinez</t>
  </si>
  <si>
    <t>ORD10080</t>
  </si>
  <si>
    <t>Debbie Hansen</t>
  </si>
  <si>
    <t>ORD10079</t>
  </si>
  <si>
    <t>Danielle Mills</t>
  </si>
  <si>
    <t>ORD10078</t>
  </si>
  <si>
    <t>Jodi Ferguson</t>
  </si>
  <si>
    <t>ORD10077</t>
  </si>
  <si>
    <t>William Obrien</t>
  </si>
  <si>
    <t>ORD10076</t>
  </si>
  <si>
    <t>Olivia Gaines</t>
  </si>
  <si>
    <t>ORD10075</t>
  </si>
  <si>
    <t>Andrew Davis</t>
  </si>
  <si>
    <t>ORD10074</t>
  </si>
  <si>
    <t>Ashley Castro</t>
  </si>
  <si>
    <t>ORD10073</t>
  </si>
  <si>
    <t>Michael Schmidt</t>
  </si>
  <si>
    <t>ORD10072</t>
  </si>
  <si>
    <t>John Hardy</t>
  </si>
  <si>
    <t>ORD10071</t>
  </si>
  <si>
    <t>Lisa Parsons</t>
  </si>
  <si>
    <t>ORD10070</t>
  </si>
  <si>
    <t>Kelly Smith</t>
  </si>
  <si>
    <t>ORD10069</t>
  </si>
  <si>
    <t>Samantha Humphrey</t>
  </si>
  <si>
    <t>ORD10068</t>
  </si>
  <si>
    <t>Jimmy Aguilar</t>
  </si>
  <si>
    <t>ORD10067</t>
  </si>
  <si>
    <t>Sandra Brown</t>
  </si>
  <si>
    <t>ORD10066</t>
  </si>
  <si>
    <t>David Willis</t>
  </si>
  <si>
    <t>ORD10065</t>
  </si>
  <si>
    <t>Mrs. Shelly Johnson</t>
  </si>
  <si>
    <t>ORD10064</t>
  </si>
  <si>
    <t>Kelsey Peck</t>
  </si>
  <si>
    <t>ORD10063</t>
  </si>
  <si>
    <t>Bonnie Smith</t>
  </si>
  <si>
    <t>ORD10062</t>
  </si>
  <si>
    <t>Kara Pineda</t>
  </si>
  <si>
    <t>ORD10061</t>
  </si>
  <si>
    <t>Renee Thomas</t>
  </si>
  <si>
    <t>ORD10060</t>
  </si>
  <si>
    <t>Willie Johnson</t>
  </si>
  <si>
    <t>ORD10059</t>
  </si>
  <si>
    <t>James Arroyo</t>
  </si>
  <si>
    <t>ORD10058</t>
  </si>
  <si>
    <t>Evelyn Owen</t>
  </si>
  <si>
    <t>ORD10057</t>
  </si>
  <si>
    <t>Christina Small</t>
  </si>
  <si>
    <t>ORD10056</t>
  </si>
  <si>
    <t>Matthew Browning</t>
  </si>
  <si>
    <t>ORD10055</t>
  </si>
  <si>
    <t>Terry Cooper</t>
  </si>
  <si>
    <t>ORD10054</t>
  </si>
  <si>
    <t>Marcus Mccullough</t>
  </si>
  <si>
    <t>ORD10053</t>
  </si>
  <si>
    <t>Brian Harrison</t>
  </si>
  <si>
    <t>ORD10052</t>
  </si>
  <si>
    <t>Miranda Bailey</t>
  </si>
  <si>
    <t>ORD10051</t>
  </si>
  <si>
    <t>Michael Huber</t>
  </si>
  <si>
    <t>ORD10050</t>
  </si>
  <si>
    <t>Nicholas Mayo DDS</t>
  </si>
  <si>
    <t>ORD10049</t>
  </si>
  <si>
    <t>Natalie Perez</t>
  </si>
  <si>
    <t>ORD10048</t>
  </si>
  <si>
    <t>Olivia Lee</t>
  </si>
  <si>
    <t>ORD10047</t>
  </si>
  <si>
    <t>Erin Walker</t>
  </si>
  <si>
    <t>ORD10046</t>
  </si>
  <si>
    <t>Heather Walker</t>
  </si>
  <si>
    <t>ORD10045</t>
  </si>
  <si>
    <t>Melissa Green</t>
  </si>
  <si>
    <t>ORD10044</t>
  </si>
  <si>
    <t>Alyssa Rice</t>
  </si>
  <si>
    <t>ORD10043</t>
  </si>
  <si>
    <t>Trevor Cox</t>
  </si>
  <si>
    <t>ORD10042</t>
  </si>
  <si>
    <t>Ronald Martin</t>
  </si>
  <si>
    <t>ORD10041</t>
  </si>
  <si>
    <t>Mr. Charles Brady</t>
  </si>
  <si>
    <t>ORD10040</t>
  </si>
  <si>
    <t>Brian Freeman</t>
  </si>
  <si>
    <t>ORD10039</t>
  </si>
  <si>
    <t>David Reed</t>
  </si>
  <si>
    <t>ORD10038</t>
  </si>
  <si>
    <t>Andrea Clark</t>
  </si>
  <si>
    <t>ORD10037</t>
  </si>
  <si>
    <t>Christian Garcia</t>
  </si>
  <si>
    <t>ORD10036</t>
  </si>
  <si>
    <t>Mrs. Ashley Burke</t>
  </si>
  <si>
    <t>ORD10035</t>
  </si>
  <si>
    <t>Mark Brown</t>
  </si>
  <si>
    <t>ORD10034</t>
  </si>
  <si>
    <t>Kristin Sanders</t>
  </si>
  <si>
    <t>ORD10033</t>
  </si>
  <si>
    <t>Joyce Pitts</t>
  </si>
  <si>
    <t>ORD10032</t>
  </si>
  <si>
    <t>Kaylee Williamson</t>
  </si>
  <si>
    <t>ORD10031</t>
  </si>
  <si>
    <t>Jacob Knight</t>
  </si>
  <si>
    <t>ORD10030</t>
  </si>
  <si>
    <t>Catherine Campbell</t>
  </si>
  <si>
    <t>ORD10029</t>
  </si>
  <si>
    <t>David Hall</t>
  </si>
  <si>
    <t>ORD10028</t>
  </si>
  <si>
    <t>Jamie Hall</t>
  </si>
  <si>
    <t>ORD10027</t>
  </si>
  <si>
    <t>Diana Perry</t>
  </si>
  <si>
    <t>ORD10026</t>
  </si>
  <si>
    <t>Donald Taylor</t>
  </si>
  <si>
    <t>ORD10025</t>
  </si>
  <si>
    <t>Seth Miller</t>
  </si>
  <si>
    <t>ORD10024</t>
  </si>
  <si>
    <t>Dustin Rodgers</t>
  </si>
  <si>
    <t>ORD10023</t>
  </si>
  <si>
    <t>Christopher Wilson</t>
  </si>
  <si>
    <t>ORD10022</t>
  </si>
  <si>
    <t>Stacy Reed</t>
  </si>
  <si>
    <t>ORD10021</t>
  </si>
  <si>
    <t>Wendy Short</t>
  </si>
  <si>
    <t>ORD10020</t>
  </si>
  <si>
    <t>Ana Simon</t>
  </si>
  <si>
    <t>ORD10019</t>
  </si>
  <si>
    <t>Ryan Duffy</t>
  </si>
  <si>
    <t>ORD10018</t>
  </si>
  <si>
    <t>Gregory Crawford</t>
  </si>
  <si>
    <t>ORD10017</t>
  </si>
  <si>
    <t>Laura Hutchinson</t>
  </si>
  <si>
    <t>ORD10016</t>
  </si>
  <si>
    <t>Jennifer Hayden</t>
  </si>
  <si>
    <t>ORD10015</t>
  </si>
  <si>
    <t>Jason Sherman</t>
  </si>
  <si>
    <t>ORD10014</t>
  </si>
  <si>
    <t>Monica Roberts</t>
  </si>
  <si>
    <t>ORD10013</t>
  </si>
  <si>
    <t>Angela Evans</t>
  </si>
  <si>
    <t>ORD10012</t>
  </si>
  <si>
    <t>Elijah Bauer</t>
  </si>
  <si>
    <t>ORD10011</t>
  </si>
  <si>
    <t>Joseph Waters MD</t>
  </si>
  <si>
    <t>ORD10010</t>
  </si>
  <si>
    <t>Amy Brown</t>
  </si>
  <si>
    <t>ORD10009</t>
  </si>
  <si>
    <t>Kenneth Lopez</t>
  </si>
  <si>
    <t>ORD10008</t>
  </si>
  <si>
    <t>Eric Cabrera</t>
  </si>
  <si>
    <t>ORD10007</t>
  </si>
  <si>
    <t>Profit Margin</t>
  </si>
  <si>
    <t>Avg Order Value</t>
  </si>
  <si>
    <t>Total Quantity</t>
  </si>
  <si>
    <t>Brandi Barnes</t>
  </si>
  <si>
    <t>ORD10006</t>
  </si>
  <si>
    <t>Jennifer Cherry</t>
  </si>
  <si>
    <t>ORD10005</t>
  </si>
  <si>
    <t>Lydia Aguilar</t>
  </si>
  <si>
    <t>ORD10004</t>
  </si>
  <si>
    <t>Jeff Serrano</t>
  </si>
  <si>
    <t>ORD10003</t>
  </si>
  <si>
    <t>Total Orders</t>
  </si>
  <si>
    <t>Total Profit</t>
  </si>
  <si>
    <t>Total Revenue</t>
  </si>
  <si>
    <t>Brady Barnes</t>
  </si>
  <si>
    <t>ORD10002</t>
  </si>
  <si>
    <t>Holly Brown</t>
  </si>
  <si>
    <t>ORD10001</t>
  </si>
  <si>
    <t>ORD10000</t>
  </si>
  <si>
    <t>Profit</t>
  </si>
  <si>
    <t>Cost</t>
  </si>
  <si>
    <t>Revenue</t>
  </si>
  <si>
    <t>Discount</t>
  </si>
  <si>
    <t>Price</t>
  </si>
  <si>
    <t>Quantity</t>
  </si>
  <si>
    <t>Sales Rep</t>
  </si>
  <si>
    <t>Region</t>
  </si>
  <si>
    <t>Category</t>
  </si>
  <si>
    <t>Product</t>
  </si>
  <si>
    <t>Customer</t>
  </si>
  <si>
    <t>Date</t>
  </si>
  <si>
    <t>Order ID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</si>
</sst>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6">
    <numFmt numFmtId="43" formatCode="_ * #,##0.00_ ;_ * \-#,##0.00_ ;_ * &quot;-&quot;??_ ;_ @_ "/>
    <numFmt numFmtId="164" formatCode="_-[$$-409]* #,##0_ ;_-[$$-409]* \-#,##0\ ;_-[$$-409]* &quot;-&quot;??_ ;_-@_ "/>
    <numFmt numFmtId="165" formatCode="[$$-409]#,##0_ ;\-[$$-409]#,##0\ "/>
    <numFmt numFmtId="166" formatCode="&quot;₹&quot;\ #,##0.00"/>
    <numFmt numFmtId="167" formatCode="\$0.0,,&quot;M&quot;"/>
    <numFmt numFmtId="168" formatCode="_ * #,##0_ ;_ * \-#,##0_ ;_ * &quot;-&quot;??_ ;_ @_ "/>
  </numFmts>
  <fonts count="3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2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</fills>
  <borders count="1">
    <border>
      <left/>
      <right/>
      <top/>
      <bottom/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11">
    <xf numFmtId="0" fontId="0" fillId="0" borderId="0" xfId="0"/>
    <xf numFmtId="164" fontId="0" fillId="0" borderId="0" xfId="0" applyNumberFormat="1"/>
    <xf numFmtId="9" fontId="0" fillId="0" borderId="0" xfId="2" applyFont="1"/>
    <xf numFmtId="165" fontId="0" fillId="0" borderId="0" xfId="0" applyNumberFormat="1"/>
    <xf numFmtId="14" fontId="0" fillId="0" borderId="0" xfId="0" applyNumberFormat="1"/>
    <xf numFmtId="166" fontId="0" fillId="0" borderId="0" xfId="0" applyNumberFormat="1"/>
    <xf numFmtId="10" fontId="0" fillId="0" borderId="0" xfId="0" applyNumberFormat="1"/>
    <xf numFmtId="167" fontId="0" fillId="0" borderId="0" xfId="0" applyNumberFormat="1"/>
    <xf numFmtId="168" fontId="0" fillId="0" borderId="0" xfId="1" applyNumberFormat="1" applyFont="1"/>
    <xf numFmtId="0" fontId="2" fillId="2" borderId="0" xfId="0" applyFont="1" applyFill="1"/>
    <xf numFmtId="3" fontId="0" fillId="0" borderId="0" xfId="1" applyNumberFormat="1" applyFont="1"/>
  </cellXfs>
  <cellStyles count="3">
    <cellStyle name="Comma" xfId="1" builtinId="3"/>
    <cellStyle name="Normal" xfId="0" builtinId="0"/>
    <cellStyle name="Percent" xfId="2" builtinId="5"/>
  </cellStyles>
  <dxfs count="12">
    <dxf>
      <numFmt numFmtId="165" formatCode="[$$-409]#,##0_ ;\-[$$-409]#,##0\ "/>
    </dxf>
    <dxf>
      <numFmt numFmtId="165" formatCode="[$$-409]#,##0_ ;\-[$$-409]#,##0\ "/>
    </dxf>
    <dxf>
      <numFmt numFmtId="165" formatCode="[$$-409]#,##0_ ;\-[$$-409]#,##0\ 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</dxf>
    <dxf>
      <numFmt numFmtId="165" formatCode="[$$-409]#,##0_ ;\-[$$-409]#,##0\ 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19" formatCode="dd/mm/yyyy"/>
    </dxf>
    <dxf>
      <numFmt numFmtId="0" formatCode="General"/>
    </dxf>
  </dxfs>
  <tableStyles count="1" defaultTableStyle="TableStyleMedium2" defaultPivotStyle="PivotStyleLight16">
    <tableStyle name="Invisible" pivot="0" table="0" count="0" xr9:uid="{35374A97-477D-4A86-AB9D-3FB144826EFC}"/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connections" Target="connections.xml"/><Relationship Id="rId7" Type="http://schemas.openxmlformats.org/officeDocument/2006/relationships/customXml" Target="../customXml/item1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ExternalData_1" connectionId="1" xr16:uid="{58C75581-DBF3-4F97-B55C-65107505ED9E}" autoFormatId="16" applyNumberFormats="0" applyBorderFormats="0" applyFontFormats="0" applyPatternFormats="0" applyAlignmentFormats="0" applyWidthHeightFormats="0">
  <queryTableRefresh nextId="14">
    <queryTableFields count="13">
      <queryTableField id="1" name="Order ID" tableColumnId="1"/>
      <queryTableField id="2" name="Date" tableColumnId="2"/>
      <queryTableField id="3" name="Customer" tableColumnId="3"/>
      <queryTableField id="4" name="Product" tableColumnId="4"/>
      <queryTableField id="5" name="Category" tableColumnId="5"/>
      <queryTableField id="6" name="Region" tableColumnId="6"/>
      <queryTableField id="7" name="Sales Rep" tableColumnId="7"/>
      <queryTableField id="8" name="Quantity" tableColumnId="8"/>
      <queryTableField id="9" name="Price" tableColumnId="9"/>
      <queryTableField id="10" name="Discount" tableColumnId="10"/>
      <queryTableField id="11" name="Revenue" tableColumnId="11"/>
      <queryTableField id="12" name="Cost" tableColumnId="12"/>
      <queryTableField id="13" name="Profit" tableColumnId="13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E5750E8-1615-4DF5-A87C-F155F029F937}" name="SalesData5" displayName="SalesData5" ref="A1:M1001" tableType="queryTable" totalsRowShown="0">
  <autoFilter ref="A1:M1001" xr:uid="{3DCD4482-B25A-431E-9908-A8B417F2F915}"/>
  <tableColumns count="13">
    <tableColumn id="1" xr3:uid="{945048FC-E8D5-4E50-8D80-45353C6F9627}" uniqueName="1" name="Order ID" queryTableFieldId="1" dataDxfId="11"/>
    <tableColumn id="2" xr3:uid="{8BF2D823-DCCD-45BF-A3DE-AB08B39A1B81}" uniqueName="2" name="Date" queryTableFieldId="2" dataDxfId="10"/>
    <tableColumn id="3" xr3:uid="{849C8A3B-2353-45B0-A851-2B6F2970C737}" uniqueName="3" name="Customer" queryTableFieldId="3" dataDxfId="9"/>
    <tableColumn id="4" xr3:uid="{1052C409-8768-4841-9535-8BAB46C71F5E}" uniqueName="4" name="Product" queryTableFieldId="4" dataDxfId="8"/>
    <tableColumn id="5" xr3:uid="{FEAC5128-62A9-49CC-9D10-19D684125DE4}" uniqueName="5" name="Category" queryTableFieldId="5" dataDxfId="7"/>
    <tableColumn id="6" xr3:uid="{C4E605F2-577C-46A6-94F5-04D6CE9BAF6F}" uniqueName="6" name="Region" queryTableFieldId="6" dataDxfId="6"/>
    <tableColumn id="7" xr3:uid="{176AF73B-0E80-4C56-A70F-1B8676BE9504}" uniqueName="7" name="Sales Rep" queryTableFieldId="7" dataDxfId="5"/>
    <tableColumn id="8" xr3:uid="{3ED57876-8A95-4230-9372-12432E11C8FE}" uniqueName="8" name="Quantity" queryTableFieldId="8"/>
    <tableColumn id="9" xr3:uid="{FC4C649A-62B2-4EB6-9052-A036D11220A1}" uniqueName="9" name="Price" queryTableFieldId="9" dataDxfId="4"/>
    <tableColumn id="10" xr3:uid="{0D2D349A-5A69-45DC-949D-8C9B765A8FBB}" uniqueName="10" name="Discount" queryTableFieldId="10" dataDxfId="3" dataCellStyle="Percent"/>
    <tableColumn id="11" xr3:uid="{04DA3D26-A300-4BF0-BA29-71408B0358C4}" uniqueName="11" name="Revenue" queryTableFieldId="11" dataDxfId="2"/>
    <tableColumn id="12" xr3:uid="{7B118431-0FE7-434D-BF98-26D85C434795}" uniqueName="12" name="Cost" queryTableFieldId="12" dataDxfId="1"/>
    <tableColumn id="13" xr3:uid="{32F15248-1ABE-4BB2-8CC8-F773C9AC0EEA}" uniqueName="13" name="Profit" queryTableFieldId="13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B82B55-ED5B-44B4-9D14-848A8A8A64DB}">
  <dimension ref="A1:T1001"/>
  <sheetViews>
    <sheetView tabSelected="1" workbookViewId="0">
      <selection activeCell="P15" sqref="P15"/>
    </sheetView>
  </sheetViews>
  <sheetFormatPr defaultRowHeight="14.4" x14ac:dyDescent="0.3"/>
  <cols>
    <col min="1" max="1" width="10.21875" bestFit="1" customWidth="1"/>
    <col min="2" max="2" width="10.33203125" bestFit="1" customWidth="1"/>
    <col min="3" max="3" width="22.109375" bestFit="1" customWidth="1"/>
    <col min="4" max="4" width="9.88671875" bestFit="1" customWidth="1"/>
    <col min="5" max="5" width="10.77734375" bestFit="1" customWidth="1"/>
    <col min="6" max="6" width="9" bestFit="1" customWidth="1"/>
    <col min="7" max="7" width="12.109375" bestFit="1" customWidth="1"/>
    <col min="8" max="8" width="10.5546875" bestFit="1" customWidth="1"/>
    <col min="9" max="9" width="11.109375" style="1" bestFit="1" customWidth="1"/>
    <col min="10" max="10" width="10.5546875" style="2" bestFit="1" customWidth="1"/>
    <col min="11" max="11" width="13.6640625" style="1" bestFit="1" customWidth="1"/>
    <col min="12" max="13" width="12.5546875" style="1" bestFit="1" customWidth="1"/>
    <col min="16" max="16" width="14.88671875" bestFit="1" customWidth="1"/>
    <col min="18" max="18" width="15.6640625" customWidth="1"/>
    <col min="20" max="20" width="15.88671875" bestFit="1" customWidth="1"/>
    <col min="21" max="21" width="12.109375" customWidth="1"/>
    <col min="22" max="22" width="14.88671875" bestFit="1" customWidth="1"/>
    <col min="24" max="24" width="14.109375" bestFit="1" customWidth="1"/>
  </cols>
  <sheetData>
    <row r="1" spans="1:20" x14ac:dyDescent="0.3">
      <c r="A1" t="s">
        <v>2038</v>
      </c>
      <c r="B1" t="s">
        <v>2037</v>
      </c>
      <c r="C1" t="s">
        <v>2036</v>
      </c>
      <c r="D1" t="s">
        <v>2035</v>
      </c>
      <c r="E1" t="s">
        <v>2034</v>
      </c>
      <c r="F1" t="s">
        <v>2033</v>
      </c>
      <c r="G1" t="s">
        <v>2032</v>
      </c>
      <c r="H1" t="s">
        <v>2031</v>
      </c>
      <c r="I1" s="3" t="s">
        <v>2030</v>
      </c>
      <c r="J1" s="2" t="s">
        <v>2029</v>
      </c>
      <c r="K1" s="3" t="s">
        <v>2028</v>
      </c>
      <c r="L1" s="3" t="s">
        <v>2027</v>
      </c>
      <c r="M1" s="3" t="s">
        <v>2026</v>
      </c>
    </row>
    <row r="2" spans="1:20" x14ac:dyDescent="0.3">
      <c r="A2" t="s">
        <v>2025</v>
      </c>
      <c r="B2" s="4">
        <v>45685</v>
      </c>
      <c r="C2" t="s">
        <v>1519</v>
      </c>
      <c r="D2" t="s">
        <v>25</v>
      </c>
      <c r="E2" t="s">
        <v>24</v>
      </c>
      <c r="F2" t="s">
        <v>23</v>
      </c>
      <c r="G2" t="s">
        <v>0</v>
      </c>
      <c r="H2">
        <v>7</v>
      </c>
      <c r="I2" s="3">
        <v>7328</v>
      </c>
      <c r="J2" s="2">
        <v>0</v>
      </c>
      <c r="K2" s="3">
        <v>51296</v>
      </c>
      <c r="L2" s="3">
        <v>40392.83</v>
      </c>
      <c r="M2" s="3">
        <v>10903.17</v>
      </c>
    </row>
    <row r="3" spans="1:20" x14ac:dyDescent="0.3">
      <c r="A3" t="s">
        <v>2024</v>
      </c>
      <c r="B3" s="4">
        <v>46071</v>
      </c>
      <c r="C3" t="s">
        <v>2023</v>
      </c>
      <c r="D3" t="s">
        <v>42</v>
      </c>
      <c r="E3" t="s">
        <v>8</v>
      </c>
      <c r="F3" t="s">
        <v>33</v>
      </c>
      <c r="G3" t="s">
        <v>16</v>
      </c>
      <c r="H3">
        <v>15</v>
      </c>
      <c r="I3" s="3">
        <v>67510</v>
      </c>
      <c r="J3" s="2">
        <v>0.05</v>
      </c>
      <c r="K3" s="3">
        <v>962017.5</v>
      </c>
      <c r="L3" s="3">
        <v>493633.77</v>
      </c>
      <c r="M3" s="3">
        <v>468383.73</v>
      </c>
    </row>
    <row r="4" spans="1:20" x14ac:dyDescent="0.3">
      <c r="A4" t="s">
        <v>2022</v>
      </c>
      <c r="B4" s="4">
        <v>45828</v>
      </c>
      <c r="C4" t="s">
        <v>2021</v>
      </c>
      <c r="D4" t="s">
        <v>3</v>
      </c>
      <c r="E4" t="s">
        <v>2</v>
      </c>
      <c r="F4" t="s">
        <v>13</v>
      </c>
      <c r="G4" t="s">
        <v>37</v>
      </c>
      <c r="H4">
        <v>2</v>
      </c>
      <c r="I4" s="3">
        <v>73226</v>
      </c>
      <c r="J4" s="2">
        <v>0.15</v>
      </c>
      <c r="K4" s="3">
        <v>124484.2</v>
      </c>
      <c r="L4" s="3">
        <v>64817.51</v>
      </c>
      <c r="M4" s="3">
        <v>59666.69</v>
      </c>
      <c r="P4" s="9" t="s">
        <v>2020</v>
      </c>
      <c r="R4" s="9" t="s">
        <v>2019</v>
      </c>
      <c r="T4" s="9" t="s">
        <v>2018</v>
      </c>
    </row>
    <row r="5" spans="1:20" x14ac:dyDescent="0.3">
      <c r="A5" t="s">
        <v>2017</v>
      </c>
      <c r="B5" s="4">
        <v>45620</v>
      </c>
      <c r="C5" t="s">
        <v>2016</v>
      </c>
      <c r="D5" t="s">
        <v>53</v>
      </c>
      <c r="E5" t="s">
        <v>2</v>
      </c>
      <c r="F5" t="s">
        <v>23</v>
      </c>
      <c r="G5" t="s">
        <v>12</v>
      </c>
      <c r="H5">
        <v>11</v>
      </c>
      <c r="I5" s="3">
        <v>9108</v>
      </c>
      <c r="J5" s="2">
        <v>0.2</v>
      </c>
      <c r="K5" s="3">
        <v>80150.399999999994</v>
      </c>
      <c r="L5" s="3">
        <v>56501.18</v>
      </c>
      <c r="M5" s="3">
        <v>23649.22</v>
      </c>
      <c r="P5" s="7">
        <f>SUM(SalesData5[Revenue])</f>
        <v>275981017.79999983</v>
      </c>
      <c r="R5" s="7">
        <f>SUM(SalesData5[Profit])</f>
        <v>90188118.290000096</v>
      </c>
      <c r="T5" s="10">
        <f>COUNTA(SalesData5[Order ID])</f>
        <v>1000</v>
      </c>
    </row>
    <row r="6" spans="1:20" x14ac:dyDescent="0.3">
      <c r="A6" t="s">
        <v>2015</v>
      </c>
      <c r="B6" s="4">
        <v>45530</v>
      </c>
      <c r="C6" t="s">
        <v>2014</v>
      </c>
      <c r="D6" t="s">
        <v>53</v>
      </c>
      <c r="E6" t="s">
        <v>2</v>
      </c>
      <c r="F6" t="s">
        <v>13</v>
      </c>
      <c r="G6" t="s">
        <v>37</v>
      </c>
      <c r="H6">
        <v>14</v>
      </c>
      <c r="I6" s="3">
        <v>18455</v>
      </c>
      <c r="J6" s="2">
        <v>0.1</v>
      </c>
      <c r="K6" s="3">
        <v>232533</v>
      </c>
      <c r="L6" s="3">
        <v>150378.78</v>
      </c>
      <c r="M6" s="3">
        <v>82154.22</v>
      </c>
    </row>
    <row r="7" spans="1:20" x14ac:dyDescent="0.3">
      <c r="A7" t="s">
        <v>2013</v>
      </c>
      <c r="B7" s="4">
        <v>45482</v>
      </c>
      <c r="C7" t="s">
        <v>2012</v>
      </c>
      <c r="D7" t="s">
        <v>28</v>
      </c>
      <c r="E7" t="s">
        <v>8</v>
      </c>
      <c r="F7" t="s">
        <v>1</v>
      </c>
      <c r="G7" t="s">
        <v>0</v>
      </c>
      <c r="H7">
        <v>9</v>
      </c>
      <c r="I7" s="3">
        <v>24688</v>
      </c>
      <c r="J7" s="2">
        <v>0</v>
      </c>
      <c r="K7" s="3">
        <v>222192</v>
      </c>
      <c r="L7" s="3">
        <v>156325.42000000001</v>
      </c>
      <c r="M7" s="3">
        <v>65866.58</v>
      </c>
    </row>
    <row r="8" spans="1:20" x14ac:dyDescent="0.3">
      <c r="A8" t="s">
        <v>2011</v>
      </c>
      <c r="B8" s="4">
        <v>45470</v>
      </c>
      <c r="C8" t="s">
        <v>2010</v>
      </c>
      <c r="D8" t="s">
        <v>53</v>
      </c>
      <c r="E8" t="s">
        <v>2</v>
      </c>
      <c r="F8" t="s">
        <v>1</v>
      </c>
      <c r="G8" t="s">
        <v>16</v>
      </c>
      <c r="H8">
        <v>12</v>
      </c>
      <c r="I8" s="3">
        <v>9229</v>
      </c>
      <c r="J8" s="2">
        <v>0.2</v>
      </c>
      <c r="K8" s="3">
        <v>88598.399999999994</v>
      </c>
      <c r="L8" s="3">
        <v>46147.4</v>
      </c>
      <c r="M8" s="3">
        <v>42451</v>
      </c>
      <c r="P8" s="9" t="s">
        <v>2009</v>
      </c>
      <c r="R8" s="9" t="s">
        <v>2008</v>
      </c>
      <c r="T8" s="9" t="s">
        <v>2007</v>
      </c>
    </row>
    <row r="9" spans="1:20" x14ac:dyDescent="0.3">
      <c r="A9" t="s">
        <v>2006</v>
      </c>
      <c r="B9" s="4">
        <v>45853</v>
      </c>
      <c r="C9" t="s">
        <v>2005</v>
      </c>
      <c r="D9" t="s">
        <v>9</v>
      </c>
      <c r="E9" t="s">
        <v>8</v>
      </c>
      <c r="F9" t="s">
        <v>33</v>
      </c>
      <c r="G9" t="s">
        <v>0</v>
      </c>
      <c r="H9">
        <v>7</v>
      </c>
      <c r="I9" s="3">
        <v>42175</v>
      </c>
      <c r="J9" s="2">
        <v>0.15</v>
      </c>
      <c r="K9" s="3">
        <v>250941.25</v>
      </c>
      <c r="L9" s="3">
        <v>176900.19</v>
      </c>
      <c r="M9" s="3">
        <v>74041.06</v>
      </c>
      <c r="P9" s="8">
        <f>SUM(SalesData5[Quantity])</f>
        <v>8054</v>
      </c>
      <c r="R9" s="7">
        <f>SUM(SalesData5[Revenue])/COUNTA(SalesData5[Order ID])</f>
        <v>275981.01779999986</v>
      </c>
      <c r="T9" s="6">
        <f>SUM(SalesData5[Profit])/SUM(SalesData5[Revenue])</f>
        <v>0.32679101993658982</v>
      </c>
    </row>
    <row r="10" spans="1:20" x14ac:dyDescent="0.3">
      <c r="A10" t="s">
        <v>2004</v>
      </c>
      <c r="B10" s="4">
        <v>45574</v>
      </c>
      <c r="C10" t="s">
        <v>2003</v>
      </c>
      <c r="D10" t="s">
        <v>25</v>
      </c>
      <c r="E10" t="s">
        <v>24</v>
      </c>
      <c r="F10" t="s">
        <v>7</v>
      </c>
      <c r="G10" t="s">
        <v>20</v>
      </c>
      <c r="H10">
        <v>13</v>
      </c>
      <c r="I10" s="3">
        <v>24562</v>
      </c>
      <c r="J10" s="2">
        <v>0.05</v>
      </c>
      <c r="K10" s="3">
        <v>303340.7</v>
      </c>
      <c r="L10" s="3">
        <v>160360.82999999999</v>
      </c>
      <c r="M10" s="3">
        <v>142979.87</v>
      </c>
    </row>
    <row r="11" spans="1:20" x14ac:dyDescent="0.3">
      <c r="A11" t="s">
        <v>2002</v>
      </c>
      <c r="B11" s="4">
        <v>45509</v>
      </c>
      <c r="C11" t="s">
        <v>2001</v>
      </c>
      <c r="D11" t="s">
        <v>56</v>
      </c>
      <c r="E11" t="s">
        <v>24</v>
      </c>
      <c r="F11" t="s">
        <v>23</v>
      </c>
      <c r="G11" t="s">
        <v>37</v>
      </c>
      <c r="H11">
        <v>12</v>
      </c>
      <c r="I11" s="3">
        <v>59829</v>
      </c>
      <c r="J11" s="2">
        <v>0.1</v>
      </c>
      <c r="K11" s="3">
        <v>646153.19999999995</v>
      </c>
      <c r="L11" s="3">
        <v>460794.89</v>
      </c>
      <c r="M11" s="3">
        <v>185358.31</v>
      </c>
    </row>
    <row r="12" spans="1:20" x14ac:dyDescent="0.3">
      <c r="A12" t="s">
        <v>2000</v>
      </c>
      <c r="B12" s="4">
        <v>45593</v>
      </c>
      <c r="C12" t="s">
        <v>1999</v>
      </c>
      <c r="D12" t="s">
        <v>28</v>
      </c>
      <c r="E12" t="s">
        <v>8</v>
      </c>
      <c r="F12" t="s">
        <v>33</v>
      </c>
      <c r="G12" t="s">
        <v>37</v>
      </c>
      <c r="H12">
        <v>3</v>
      </c>
      <c r="I12" s="3">
        <v>45833</v>
      </c>
      <c r="J12" s="2">
        <v>0.05</v>
      </c>
      <c r="K12" s="3">
        <v>130624.05</v>
      </c>
      <c r="L12" s="3">
        <v>107979.66</v>
      </c>
      <c r="M12" s="3">
        <v>22644.39</v>
      </c>
    </row>
    <row r="13" spans="1:20" x14ac:dyDescent="0.3">
      <c r="A13" t="s">
        <v>1998</v>
      </c>
      <c r="B13" s="4">
        <v>46151</v>
      </c>
      <c r="C13" t="s">
        <v>1997</v>
      </c>
      <c r="D13" t="s">
        <v>42</v>
      </c>
      <c r="E13" t="s">
        <v>8</v>
      </c>
      <c r="F13" t="s">
        <v>7</v>
      </c>
      <c r="G13" t="s">
        <v>0</v>
      </c>
      <c r="H13">
        <v>13</v>
      </c>
      <c r="I13" s="3">
        <v>74148</v>
      </c>
      <c r="J13" s="2">
        <v>0.2</v>
      </c>
      <c r="K13" s="3">
        <v>771139.2</v>
      </c>
      <c r="L13" s="3">
        <v>598545.11</v>
      </c>
      <c r="M13" s="3">
        <v>172594.09</v>
      </c>
    </row>
    <row r="14" spans="1:20" x14ac:dyDescent="0.3">
      <c r="A14" t="s">
        <v>1996</v>
      </c>
      <c r="B14" s="4">
        <v>45976</v>
      </c>
      <c r="C14" t="s">
        <v>1995</v>
      </c>
      <c r="D14" t="s">
        <v>28</v>
      </c>
      <c r="E14" t="s">
        <v>8</v>
      </c>
      <c r="F14" t="s">
        <v>23</v>
      </c>
      <c r="G14" t="s">
        <v>37</v>
      </c>
      <c r="H14">
        <v>10</v>
      </c>
      <c r="I14" s="3">
        <v>66100</v>
      </c>
      <c r="J14" s="2">
        <v>0.2</v>
      </c>
      <c r="K14" s="3">
        <v>528800</v>
      </c>
      <c r="L14" s="3">
        <v>411888.77</v>
      </c>
      <c r="M14" s="3">
        <v>116911.23</v>
      </c>
      <c r="O14" s="5"/>
    </row>
    <row r="15" spans="1:20" x14ac:dyDescent="0.3">
      <c r="A15" t="s">
        <v>1994</v>
      </c>
      <c r="B15" s="4">
        <v>45818</v>
      </c>
      <c r="C15" t="s">
        <v>1993</v>
      </c>
      <c r="D15" t="s">
        <v>56</v>
      </c>
      <c r="E15" t="s">
        <v>24</v>
      </c>
      <c r="F15" t="s">
        <v>7</v>
      </c>
      <c r="G15" t="s">
        <v>6</v>
      </c>
      <c r="H15">
        <v>12</v>
      </c>
      <c r="I15" s="3">
        <v>9519</v>
      </c>
      <c r="J15" s="2">
        <v>0</v>
      </c>
      <c r="K15" s="3">
        <v>114228</v>
      </c>
      <c r="L15" s="3">
        <v>86345.600000000006</v>
      </c>
      <c r="M15" s="3">
        <v>27882.400000000001</v>
      </c>
    </row>
    <row r="16" spans="1:20" x14ac:dyDescent="0.3">
      <c r="A16" t="s">
        <v>1992</v>
      </c>
      <c r="B16" s="4">
        <v>45490</v>
      </c>
      <c r="C16" t="s">
        <v>1991</v>
      </c>
      <c r="D16" t="s">
        <v>9</v>
      </c>
      <c r="E16" t="s">
        <v>8</v>
      </c>
      <c r="F16" t="s">
        <v>7</v>
      </c>
      <c r="G16" t="s">
        <v>37</v>
      </c>
      <c r="H16">
        <v>14</v>
      </c>
      <c r="I16" s="3">
        <v>59411</v>
      </c>
      <c r="J16" s="2">
        <v>0.1</v>
      </c>
      <c r="K16" s="3">
        <v>748578.6</v>
      </c>
      <c r="L16" s="3">
        <v>562047.57999999996</v>
      </c>
      <c r="M16" s="3">
        <v>186531.02</v>
      </c>
    </row>
    <row r="17" spans="1:13" x14ac:dyDescent="0.3">
      <c r="A17" t="s">
        <v>1990</v>
      </c>
      <c r="B17" s="4">
        <v>45552</v>
      </c>
      <c r="C17" t="s">
        <v>1989</v>
      </c>
      <c r="D17" t="s">
        <v>56</v>
      </c>
      <c r="E17" t="s">
        <v>24</v>
      </c>
      <c r="F17" t="s">
        <v>7</v>
      </c>
      <c r="G17" t="s">
        <v>12</v>
      </c>
      <c r="H17">
        <v>3</v>
      </c>
      <c r="I17" s="3">
        <v>16347</v>
      </c>
      <c r="J17" s="2">
        <v>0.15</v>
      </c>
      <c r="K17" s="3">
        <v>41684.85</v>
      </c>
      <c r="L17" s="3">
        <v>21702.55</v>
      </c>
      <c r="M17" s="3">
        <v>19982.3</v>
      </c>
    </row>
    <row r="18" spans="1:13" x14ac:dyDescent="0.3">
      <c r="A18" t="s">
        <v>1988</v>
      </c>
      <c r="B18" s="4">
        <v>45494</v>
      </c>
      <c r="C18" t="s">
        <v>1987</v>
      </c>
      <c r="D18" t="s">
        <v>42</v>
      </c>
      <c r="E18" t="s">
        <v>8</v>
      </c>
      <c r="F18" t="s">
        <v>33</v>
      </c>
      <c r="G18" t="s">
        <v>16</v>
      </c>
      <c r="H18">
        <v>7</v>
      </c>
      <c r="I18" s="3">
        <v>52242</v>
      </c>
      <c r="J18" s="2">
        <v>0.15</v>
      </c>
      <c r="K18" s="3">
        <v>310839.90000000002</v>
      </c>
      <c r="L18" s="3">
        <v>164186.71</v>
      </c>
      <c r="M18" s="3">
        <v>146653.19</v>
      </c>
    </row>
    <row r="19" spans="1:13" x14ac:dyDescent="0.3">
      <c r="A19" t="s">
        <v>1986</v>
      </c>
      <c r="B19" s="4">
        <v>45677</v>
      </c>
      <c r="C19" t="s">
        <v>1985</v>
      </c>
      <c r="D19" t="s">
        <v>28</v>
      </c>
      <c r="E19" t="s">
        <v>8</v>
      </c>
      <c r="F19" t="s">
        <v>7</v>
      </c>
      <c r="G19" t="s">
        <v>6</v>
      </c>
      <c r="H19">
        <v>15</v>
      </c>
      <c r="I19" s="3">
        <v>18947</v>
      </c>
      <c r="J19" s="2">
        <v>0.15</v>
      </c>
      <c r="K19" s="3">
        <v>241574.25</v>
      </c>
      <c r="L19" s="3">
        <v>193837.87</v>
      </c>
      <c r="M19" s="3">
        <v>47736.38</v>
      </c>
    </row>
    <row r="20" spans="1:13" x14ac:dyDescent="0.3">
      <c r="A20" t="s">
        <v>1984</v>
      </c>
      <c r="B20" s="4">
        <v>46052</v>
      </c>
      <c r="C20" t="s">
        <v>1983</v>
      </c>
      <c r="D20" t="s">
        <v>56</v>
      </c>
      <c r="E20" t="s">
        <v>24</v>
      </c>
      <c r="F20" t="s">
        <v>1</v>
      </c>
      <c r="G20" t="s">
        <v>12</v>
      </c>
      <c r="H20">
        <v>11</v>
      </c>
      <c r="I20" s="3">
        <v>50865</v>
      </c>
      <c r="J20" s="2">
        <v>0.05</v>
      </c>
      <c r="K20" s="3">
        <v>531539.25</v>
      </c>
      <c r="L20" s="3">
        <v>293846.76</v>
      </c>
      <c r="M20" s="3">
        <v>237692.49</v>
      </c>
    </row>
    <row r="21" spans="1:13" x14ac:dyDescent="0.3">
      <c r="A21" t="s">
        <v>1982</v>
      </c>
      <c r="B21" s="4">
        <v>45802</v>
      </c>
      <c r="C21" t="s">
        <v>1981</v>
      </c>
      <c r="D21" t="s">
        <v>53</v>
      </c>
      <c r="E21" t="s">
        <v>2</v>
      </c>
      <c r="F21" t="s">
        <v>1</v>
      </c>
      <c r="G21" t="s">
        <v>0</v>
      </c>
      <c r="H21">
        <v>4</v>
      </c>
      <c r="I21" s="3">
        <v>2581</v>
      </c>
      <c r="J21" s="2">
        <v>0.15</v>
      </c>
      <c r="K21" s="3">
        <v>8775.4</v>
      </c>
      <c r="L21" s="3">
        <v>6940.31</v>
      </c>
      <c r="M21" s="3">
        <v>1835.09</v>
      </c>
    </row>
    <row r="22" spans="1:13" x14ac:dyDescent="0.3">
      <c r="A22" t="s">
        <v>1980</v>
      </c>
      <c r="B22" s="4">
        <v>45674</v>
      </c>
      <c r="C22" t="s">
        <v>1979</v>
      </c>
      <c r="D22" t="s">
        <v>25</v>
      </c>
      <c r="E22" t="s">
        <v>24</v>
      </c>
      <c r="F22" t="s">
        <v>13</v>
      </c>
      <c r="G22" t="s">
        <v>0</v>
      </c>
      <c r="H22">
        <v>3</v>
      </c>
      <c r="I22" s="3">
        <v>55912</v>
      </c>
      <c r="J22" s="2">
        <v>0.2</v>
      </c>
      <c r="K22" s="3">
        <v>134188.79999999999</v>
      </c>
      <c r="L22" s="3">
        <v>84436.79</v>
      </c>
      <c r="M22" s="3">
        <v>49752.01</v>
      </c>
    </row>
    <row r="23" spans="1:13" x14ac:dyDescent="0.3">
      <c r="A23" t="s">
        <v>1978</v>
      </c>
      <c r="B23" s="4">
        <v>45655</v>
      </c>
      <c r="C23" t="s">
        <v>1977</v>
      </c>
      <c r="D23" t="s">
        <v>53</v>
      </c>
      <c r="E23" t="s">
        <v>2</v>
      </c>
      <c r="F23" t="s">
        <v>23</v>
      </c>
      <c r="G23" t="s">
        <v>16</v>
      </c>
      <c r="H23">
        <v>14</v>
      </c>
      <c r="I23" s="3">
        <v>68566</v>
      </c>
      <c r="J23" s="2">
        <v>0.2</v>
      </c>
      <c r="K23" s="3">
        <v>767939.2</v>
      </c>
      <c r="L23" s="3">
        <v>560010.65</v>
      </c>
      <c r="M23" s="3">
        <v>207928.55</v>
      </c>
    </row>
    <row r="24" spans="1:13" x14ac:dyDescent="0.3">
      <c r="A24" t="s">
        <v>1976</v>
      </c>
      <c r="B24" s="4">
        <v>46164</v>
      </c>
      <c r="C24" t="s">
        <v>1975</v>
      </c>
      <c r="D24" t="s">
        <v>9</v>
      </c>
      <c r="E24" t="s">
        <v>8</v>
      </c>
      <c r="F24" t="s">
        <v>33</v>
      </c>
      <c r="G24" t="s">
        <v>6</v>
      </c>
      <c r="H24">
        <v>7</v>
      </c>
      <c r="I24" s="3">
        <v>53175</v>
      </c>
      <c r="J24" s="2">
        <v>0.15</v>
      </c>
      <c r="K24" s="3">
        <v>316391.25</v>
      </c>
      <c r="L24" s="3">
        <v>201839.27</v>
      </c>
      <c r="M24" s="3">
        <v>114551.98</v>
      </c>
    </row>
    <row r="25" spans="1:13" x14ac:dyDescent="0.3">
      <c r="A25" t="s">
        <v>1974</v>
      </c>
      <c r="B25" s="4">
        <v>45479</v>
      </c>
      <c r="C25" t="s">
        <v>1973</v>
      </c>
      <c r="D25" t="s">
        <v>25</v>
      </c>
      <c r="E25" t="s">
        <v>24</v>
      </c>
      <c r="F25" t="s">
        <v>23</v>
      </c>
      <c r="G25" t="s">
        <v>0</v>
      </c>
      <c r="H25">
        <v>4</v>
      </c>
      <c r="I25" s="3">
        <v>9827</v>
      </c>
      <c r="J25" s="2">
        <v>0.05</v>
      </c>
      <c r="K25" s="3">
        <v>37342.6</v>
      </c>
      <c r="L25" s="3">
        <v>24430.25</v>
      </c>
      <c r="M25" s="3">
        <v>12912.35</v>
      </c>
    </row>
    <row r="26" spans="1:13" x14ac:dyDescent="0.3">
      <c r="A26" t="s">
        <v>1972</v>
      </c>
      <c r="B26" s="4">
        <v>45743</v>
      </c>
      <c r="C26" t="s">
        <v>1971</v>
      </c>
      <c r="D26" t="s">
        <v>42</v>
      </c>
      <c r="E26" t="s">
        <v>8</v>
      </c>
      <c r="F26" t="s">
        <v>23</v>
      </c>
      <c r="G26" t="s">
        <v>0</v>
      </c>
      <c r="H26">
        <v>2</v>
      </c>
      <c r="I26" s="3">
        <v>1030</v>
      </c>
      <c r="J26" s="2">
        <v>0.2</v>
      </c>
      <c r="K26" s="3">
        <v>1648</v>
      </c>
      <c r="L26" s="3">
        <v>911.25</v>
      </c>
      <c r="M26" s="3">
        <v>736.75</v>
      </c>
    </row>
    <row r="27" spans="1:13" x14ac:dyDescent="0.3">
      <c r="A27" t="s">
        <v>1970</v>
      </c>
      <c r="B27" s="4">
        <v>45782</v>
      </c>
      <c r="C27" t="s">
        <v>1969</v>
      </c>
      <c r="D27" t="s">
        <v>42</v>
      </c>
      <c r="E27" t="s">
        <v>8</v>
      </c>
      <c r="F27" t="s">
        <v>7</v>
      </c>
      <c r="G27" t="s">
        <v>0</v>
      </c>
      <c r="H27">
        <v>2</v>
      </c>
      <c r="I27" s="3">
        <v>28256</v>
      </c>
      <c r="J27" s="2">
        <v>0.2</v>
      </c>
      <c r="K27" s="3">
        <v>45209.599999999999</v>
      </c>
      <c r="L27" s="3">
        <v>28558.01</v>
      </c>
      <c r="M27" s="3">
        <v>16651.59</v>
      </c>
    </row>
    <row r="28" spans="1:13" x14ac:dyDescent="0.3">
      <c r="A28" t="s">
        <v>1968</v>
      </c>
      <c r="B28" s="4">
        <v>45768</v>
      </c>
      <c r="C28" t="s">
        <v>1967</v>
      </c>
      <c r="D28" t="s">
        <v>28</v>
      </c>
      <c r="E28" t="s">
        <v>8</v>
      </c>
      <c r="F28" t="s">
        <v>33</v>
      </c>
      <c r="G28" t="s">
        <v>16</v>
      </c>
      <c r="H28">
        <v>8</v>
      </c>
      <c r="I28" s="3">
        <v>17101</v>
      </c>
      <c r="J28" s="2">
        <v>0</v>
      </c>
      <c r="K28" s="3">
        <v>136808</v>
      </c>
      <c r="L28" s="3">
        <v>109053.48</v>
      </c>
      <c r="M28" s="3">
        <v>27754.52</v>
      </c>
    </row>
    <row r="29" spans="1:13" x14ac:dyDescent="0.3">
      <c r="A29" t="s">
        <v>1966</v>
      </c>
      <c r="B29" s="4">
        <v>45712</v>
      </c>
      <c r="C29" t="s">
        <v>1965</v>
      </c>
      <c r="D29" t="s">
        <v>56</v>
      </c>
      <c r="E29" t="s">
        <v>24</v>
      </c>
      <c r="F29" t="s">
        <v>7</v>
      </c>
      <c r="G29" t="s">
        <v>16</v>
      </c>
      <c r="H29">
        <v>2</v>
      </c>
      <c r="I29" s="3">
        <v>19889</v>
      </c>
      <c r="J29" s="2">
        <v>0</v>
      </c>
      <c r="K29" s="3">
        <v>39778</v>
      </c>
      <c r="L29" s="3">
        <v>30326.19</v>
      </c>
      <c r="M29" s="3">
        <v>9451.81</v>
      </c>
    </row>
    <row r="30" spans="1:13" x14ac:dyDescent="0.3">
      <c r="A30" t="s">
        <v>1964</v>
      </c>
      <c r="B30" s="4">
        <v>45498</v>
      </c>
      <c r="C30" t="s">
        <v>1963</v>
      </c>
      <c r="D30" t="s">
        <v>42</v>
      </c>
      <c r="E30" t="s">
        <v>8</v>
      </c>
      <c r="F30" t="s">
        <v>13</v>
      </c>
      <c r="G30" t="s">
        <v>0</v>
      </c>
      <c r="H30">
        <v>9</v>
      </c>
      <c r="I30" s="3">
        <v>4027</v>
      </c>
      <c r="J30" s="2">
        <v>0.05</v>
      </c>
      <c r="K30" s="3">
        <v>34430.85</v>
      </c>
      <c r="L30" s="3">
        <v>28675.56</v>
      </c>
      <c r="M30" s="3">
        <v>5755.29</v>
      </c>
    </row>
    <row r="31" spans="1:13" x14ac:dyDescent="0.3">
      <c r="A31" t="s">
        <v>1962</v>
      </c>
      <c r="B31" s="4">
        <v>45810</v>
      </c>
      <c r="C31" t="s">
        <v>1961</v>
      </c>
      <c r="D31" t="s">
        <v>53</v>
      </c>
      <c r="E31" t="s">
        <v>2</v>
      </c>
      <c r="F31" t="s">
        <v>23</v>
      </c>
      <c r="G31" t="s">
        <v>6</v>
      </c>
      <c r="H31">
        <v>9</v>
      </c>
      <c r="I31" s="3">
        <v>4544</v>
      </c>
      <c r="J31" s="2">
        <v>0.2</v>
      </c>
      <c r="K31" s="3">
        <v>32716.799999999999</v>
      </c>
      <c r="L31" s="3">
        <v>19771.79</v>
      </c>
      <c r="M31" s="3">
        <v>12945.01</v>
      </c>
    </row>
    <row r="32" spans="1:13" x14ac:dyDescent="0.3">
      <c r="A32" t="s">
        <v>1960</v>
      </c>
      <c r="B32" s="4">
        <v>45547</v>
      </c>
      <c r="C32" t="s">
        <v>1959</v>
      </c>
      <c r="D32" t="s">
        <v>34</v>
      </c>
      <c r="E32" t="s">
        <v>24</v>
      </c>
      <c r="F32" t="s">
        <v>13</v>
      </c>
      <c r="G32" t="s">
        <v>20</v>
      </c>
      <c r="H32">
        <v>6</v>
      </c>
      <c r="I32" s="3">
        <v>22894</v>
      </c>
      <c r="J32" s="2">
        <v>0.1</v>
      </c>
      <c r="K32" s="3">
        <v>123627.6</v>
      </c>
      <c r="L32" s="3">
        <v>95215.29</v>
      </c>
      <c r="M32" s="3">
        <v>28412.31</v>
      </c>
    </row>
    <row r="33" spans="1:13" x14ac:dyDescent="0.3">
      <c r="A33" t="s">
        <v>1958</v>
      </c>
      <c r="B33" s="4">
        <v>45531</v>
      </c>
      <c r="C33" t="s">
        <v>1957</v>
      </c>
      <c r="D33" t="s">
        <v>28</v>
      </c>
      <c r="E33" t="s">
        <v>8</v>
      </c>
      <c r="F33" t="s">
        <v>1</v>
      </c>
      <c r="G33" t="s">
        <v>12</v>
      </c>
      <c r="H33">
        <v>11</v>
      </c>
      <c r="I33" s="3">
        <v>30234</v>
      </c>
      <c r="J33" s="2">
        <v>0.2</v>
      </c>
      <c r="K33" s="3">
        <v>266059.2</v>
      </c>
      <c r="L33" s="3">
        <v>208598.11</v>
      </c>
      <c r="M33" s="3">
        <v>57461.09</v>
      </c>
    </row>
    <row r="34" spans="1:13" x14ac:dyDescent="0.3">
      <c r="A34" t="s">
        <v>1956</v>
      </c>
      <c r="B34" s="4">
        <v>45959</v>
      </c>
      <c r="C34" t="s">
        <v>1955</v>
      </c>
      <c r="D34" t="s">
        <v>34</v>
      </c>
      <c r="E34" t="s">
        <v>24</v>
      </c>
      <c r="F34" t="s">
        <v>7</v>
      </c>
      <c r="G34" t="s">
        <v>6</v>
      </c>
      <c r="H34">
        <v>13</v>
      </c>
      <c r="I34" s="3">
        <v>30719</v>
      </c>
      <c r="J34" s="2">
        <v>0.05</v>
      </c>
      <c r="K34" s="3">
        <v>379379.65</v>
      </c>
      <c r="L34" s="3">
        <v>258423.38</v>
      </c>
      <c r="M34" s="3">
        <v>120956.27</v>
      </c>
    </row>
    <row r="35" spans="1:13" x14ac:dyDescent="0.3">
      <c r="A35" t="s">
        <v>1954</v>
      </c>
      <c r="B35" s="4">
        <v>46113</v>
      </c>
      <c r="C35" t="s">
        <v>1953</v>
      </c>
      <c r="D35" t="s">
        <v>3</v>
      </c>
      <c r="E35" t="s">
        <v>2</v>
      </c>
      <c r="F35" t="s">
        <v>13</v>
      </c>
      <c r="G35" t="s">
        <v>0</v>
      </c>
      <c r="H35">
        <v>13</v>
      </c>
      <c r="I35" s="3">
        <v>37623</v>
      </c>
      <c r="J35" s="2">
        <v>0.15</v>
      </c>
      <c r="K35" s="3">
        <v>415734.15</v>
      </c>
      <c r="L35" s="3">
        <v>245578.75</v>
      </c>
      <c r="M35" s="3">
        <v>170155.4</v>
      </c>
    </row>
    <row r="36" spans="1:13" x14ac:dyDescent="0.3">
      <c r="A36" t="s">
        <v>1952</v>
      </c>
      <c r="B36" s="4">
        <v>45740</v>
      </c>
      <c r="C36" t="s">
        <v>1951</v>
      </c>
      <c r="D36" t="s">
        <v>34</v>
      </c>
      <c r="E36" t="s">
        <v>24</v>
      </c>
      <c r="F36" t="s">
        <v>1</v>
      </c>
      <c r="G36" t="s">
        <v>16</v>
      </c>
      <c r="H36">
        <v>6</v>
      </c>
      <c r="I36" s="3">
        <v>48793</v>
      </c>
      <c r="J36" s="2">
        <v>0</v>
      </c>
      <c r="K36" s="3">
        <v>292758</v>
      </c>
      <c r="L36" s="3">
        <v>168968.74</v>
      </c>
      <c r="M36" s="3">
        <v>123789.26</v>
      </c>
    </row>
    <row r="37" spans="1:13" x14ac:dyDescent="0.3">
      <c r="A37" t="s">
        <v>1950</v>
      </c>
      <c r="B37" s="4">
        <v>45486</v>
      </c>
      <c r="C37" t="s">
        <v>1949</v>
      </c>
      <c r="D37" t="s">
        <v>17</v>
      </c>
      <c r="E37" t="s">
        <v>2</v>
      </c>
      <c r="F37" t="s">
        <v>13</v>
      </c>
      <c r="G37" t="s">
        <v>37</v>
      </c>
      <c r="H37">
        <v>4</v>
      </c>
      <c r="I37" s="3">
        <v>64262</v>
      </c>
      <c r="J37" s="2">
        <v>0.2</v>
      </c>
      <c r="K37" s="3">
        <v>205638.39999999999</v>
      </c>
      <c r="L37" s="3">
        <v>173730.96</v>
      </c>
      <c r="M37" s="3">
        <v>31907.439999999999</v>
      </c>
    </row>
    <row r="38" spans="1:13" x14ac:dyDescent="0.3">
      <c r="A38" t="s">
        <v>1948</v>
      </c>
      <c r="B38" s="4">
        <v>45513</v>
      </c>
      <c r="C38" t="s">
        <v>1947</v>
      </c>
      <c r="D38" t="s">
        <v>34</v>
      </c>
      <c r="E38" t="s">
        <v>24</v>
      </c>
      <c r="F38" t="s">
        <v>1</v>
      </c>
      <c r="G38" t="s">
        <v>16</v>
      </c>
      <c r="H38">
        <v>6</v>
      </c>
      <c r="I38" s="3">
        <v>12112</v>
      </c>
      <c r="J38" s="2">
        <v>0</v>
      </c>
      <c r="K38" s="3">
        <v>72672</v>
      </c>
      <c r="L38" s="3">
        <v>59476.36</v>
      </c>
      <c r="M38" s="3">
        <v>13195.64</v>
      </c>
    </row>
    <row r="39" spans="1:13" x14ac:dyDescent="0.3">
      <c r="A39" t="s">
        <v>1946</v>
      </c>
      <c r="B39" s="4">
        <v>45716</v>
      </c>
      <c r="C39" t="s">
        <v>1945</v>
      </c>
      <c r="D39" t="s">
        <v>17</v>
      </c>
      <c r="E39" t="s">
        <v>2</v>
      </c>
      <c r="F39" t="s">
        <v>33</v>
      </c>
      <c r="G39" t="s">
        <v>16</v>
      </c>
      <c r="H39">
        <v>13</v>
      </c>
      <c r="I39" s="3">
        <v>44583</v>
      </c>
      <c r="J39" s="2">
        <v>0</v>
      </c>
      <c r="K39" s="3">
        <v>579579</v>
      </c>
      <c r="L39" s="3">
        <v>452238.68</v>
      </c>
      <c r="M39" s="3">
        <v>127340.32</v>
      </c>
    </row>
    <row r="40" spans="1:13" x14ac:dyDescent="0.3">
      <c r="A40" t="s">
        <v>1944</v>
      </c>
      <c r="B40" s="4">
        <v>45726</v>
      </c>
      <c r="C40" t="s">
        <v>1943</v>
      </c>
      <c r="D40" t="s">
        <v>34</v>
      </c>
      <c r="E40" t="s">
        <v>24</v>
      </c>
      <c r="F40" t="s">
        <v>23</v>
      </c>
      <c r="G40" t="s">
        <v>12</v>
      </c>
      <c r="H40">
        <v>2</v>
      </c>
      <c r="I40" s="3">
        <v>21821</v>
      </c>
      <c r="J40" s="2">
        <v>0.05</v>
      </c>
      <c r="K40" s="3">
        <v>41459.9</v>
      </c>
      <c r="L40" s="3">
        <v>35140.97</v>
      </c>
      <c r="M40" s="3">
        <v>6318.93</v>
      </c>
    </row>
    <row r="41" spans="1:13" x14ac:dyDescent="0.3">
      <c r="A41" t="s">
        <v>1942</v>
      </c>
      <c r="B41" s="4">
        <v>45716</v>
      </c>
      <c r="C41" t="s">
        <v>1941</v>
      </c>
      <c r="D41" t="s">
        <v>28</v>
      </c>
      <c r="E41" t="s">
        <v>8</v>
      </c>
      <c r="F41" t="s">
        <v>33</v>
      </c>
      <c r="G41" t="s">
        <v>6</v>
      </c>
      <c r="H41">
        <v>13</v>
      </c>
      <c r="I41" s="3">
        <v>20159</v>
      </c>
      <c r="J41" s="2">
        <v>0.2</v>
      </c>
      <c r="K41" s="3">
        <v>209653.6</v>
      </c>
      <c r="L41" s="3">
        <v>165475.10999999999</v>
      </c>
      <c r="M41" s="3">
        <v>44178.49</v>
      </c>
    </row>
    <row r="42" spans="1:13" x14ac:dyDescent="0.3">
      <c r="A42" t="s">
        <v>1940</v>
      </c>
      <c r="B42" s="4">
        <v>45795</v>
      </c>
      <c r="C42" t="s">
        <v>1939</v>
      </c>
      <c r="D42" t="s">
        <v>25</v>
      </c>
      <c r="E42" t="s">
        <v>24</v>
      </c>
      <c r="F42" t="s">
        <v>23</v>
      </c>
      <c r="G42" t="s">
        <v>20</v>
      </c>
      <c r="H42">
        <v>9</v>
      </c>
      <c r="I42" s="3">
        <v>72864</v>
      </c>
      <c r="J42" s="2">
        <v>0.05</v>
      </c>
      <c r="K42" s="3">
        <v>622987.19999999995</v>
      </c>
      <c r="L42" s="3">
        <v>316159.05</v>
      </c>
      <c r="M42" s="3">
        <v>306828.15000000002</v>
      </c>
    </row>
    <row r="43" spans="1:13" x14ac:dyDescent="0.3">
      <c r="A43" t="s">
        <v>1938</v>
      </c>
      <c r="B43" s="4">
        <v>46009</v>
      </c>
      <c r="C43" t="s">
        <v>1937</v>
      </c>
      <c r="D43" t="s">
        <v>42</v>
      </c>
      <c r="E43" t="s">
        <v>8</v>
      </c>
      <c r="F43" t="s">
        <v>1</v>
      </c>
      <c r="G43" t="s">
        <v>0</v>
      </c>
      <c r="H43">
        <v>7</v>
      </c>
      <c r="I43" s="3">
        <v>26533</v>
      </c>
      <c r="J43" s="2">
        <v>0.05</v>
      </c>
      <c r="K43" s="3">
        <v>176444.45</v>
      </c>
      <c r="L43" s="3">
        <v>89950.99</v>
      </c>
      <c r="M43" s="3">
        <v>86493.46</v>
      </c>
    </row>
    <row r="44" spans="1:13" x14ac:dyDescent="0.3">
      <c r="A44" t="s">
        <v>1936</v>
      </c>
      <c r="B44" s="4">
        <v>45451</v>
      </c>
      <c r="C44" t="s">
        <v>1935</v>
      </c>
      <c r="D44" t="s">
        <v>42</v>
      </c>
      <c r="E44" t="s">
        <v>8</v>
      </c>
      <c r="F44" t="s">
        <v>1</v>
      </c>
      <c r="G44" t="s">
        <v>37</v>
      </c>
      <c r="H44">
        <v>13</v>
      </c>
      <c r="I44" s="3">
        <v>43728</v>
      </c>
      <c r="J44" s="2">
        <v>0.1</v>
      </c>
      <c r="K44" s="3">
        <v>511617.6</v>
      </c>
      <c r="L44" s="3">
        <v>353283.96</v>
      </c>
      <c r="M44" s="3">
        <v>158333.64000000001</v>
      </c>
    </row>
    <row r="45" spans="1:13" x14ac:dyDescent="0.3">
      <c r="A45" t="s">
        <v>1934</v>
      </c>
      <c r="B45" s="4">
        <v>45969</v>
      </c>
      <c r="C45" t="s">
        <v>1933</v>
      </c>
      <c r="D45" t="s">
        <v>28</v>
      </c>
      <c r="E45" t="s">
        <v>8</v>
      </c>
      <c r="F45" t="s">
        <v>13</v>
      </c>
      <c r="G45" t="s">
        <v>16</v>
      </c>
      <c r="H45">
        <v>15</v>
      </c>
      <c r="I45" s="3">
        <v>61052</v>
      </c>
      <c r="J45" s="2">
        <v>0.2</v>
      </c>
      <c r="K45" s="3">
        <v>732624</v>
      </c>
      <c r="L45" s="3">
        <v>575305.06000000006</v>
      </c>
      <c r="M45" s="3">
        <v>157318.94</v>
      </c>
    </row>
    <row r="46" spans="1:13" x14ac:dyDescent="0.3">
      <c r="A46" t="s">
        <v>1932</v>
      </c>
      <c r="B46" s="4">
        <v>45933</v>
      </c>
      <c r="C46" t="s">
        <v>1931</v>
      </c>
      <c r="D46" t="s">
        <v>42</v>
      </c>
      <c r="E46" t="s">
        <v>8</v>
      </c>
      <c r="F46" t="s">
        <v>33</v>
      </c>
      <c r="G46" t="s">
        <v>12</v>
      </c>
      <c r="H46">
        <v>9</v>
      </c>
      <c r="I46" s="3">
        <v>20901</v>
      </c>
      <c r="J46" s="2">
        <v>0.2</v>
      </c>
      <c r="K46" s="3">
        <v>150487.20000000001</v>
      </c>
      <c r="L46" s="3">
        <v>102134.38</v>
      </c>
      <c r="M46" s="3">
        <v>48352.82</v>
      </c>
    </row>
    <row r="47" spans="1:13" x14ac:dyDescent="0.3">
      <c r="A47" t="s">
        <v>1930</v>
      </c>
      <c r="B47" s="4">
        <v>45718</v>
      </c>
      <c r="C47" t="s">
        <v>1929</v>
      </c>
      <c r="D47" t="s">
        <v>42</v>
      </c>
      <c r="E47" t="s">
        <v>8</v>
      </c>
      <c r="F47" t="s">
        <v>13</v>
      </c>
      <c r="G47" t="s">
        <v>6</v>
      </c>
      <c r="H47">
        <v>13</v>
      </c>
      <c r="I47" s="3">
        <v>20634</v>
      </c>
      <c r="J47" s="2">
        <v>0.05</v>
      </c>
      <c r="K47" s="3">
        <v>254829.9</v>
      </c>
      <c r="L47" s="3">
        <v>140040.66</v>
      </c>
      <c r="M47" s="3">
        <v>114789.24</v>
      </c>
    </row>
    <row r="48" spans="1:13" x14ac:dyDescent="0.3">
      <c r="A48" t="s">
        <v>1928</v>
      </c>
      <c r="B48" s="4">
        <v>45854</v>
      </c>
      <c r="C48" t="s">
        <v>1927</v>
      </c>
      <c r="D48" t="s">
        <v>53</v>
      </c>
      <c r="E48" t="s">
        <v>2</v>
      </c>
      <c r="F48" t="s">
        <v>33</v>
      </c>
      <c r="G48" t="s">
        <v>37</v>
      </c>
      <c r="H48">
        <v>1</v>
      </c>
      <c r="I48" s="3">
        <v>43727</v>
      </c>
      <c r="J48" s="2">
        <v>0.2</v>
      </c>
      <c r="K48" s="3">
        <v>34981.599999999999</v>
      </c>
      <c r="L48" s="3">
        <v>23988.78</v>
      </c>
      <c r="M48" s="3">
        <v>10992.82</v>
      </c>
    </row>
    <row r="49" spans="1:13" x14ac:dyDescent="0.3">
      <c r="A49" t="s">
        <v>1926</v>
      </c>
      <c r="B49" s="4">
        <v>46064</v>
      </c>
      <c r="C49" t="s">
        <v>1925</v>
      </c>
      <c r="D49" t="s">
        <v>42</v>
      </c>
      <c r="E49" t="s">
        <v>8</v>
      </c>
      <c r="F49" t="s">
        <v>23</v>
      </c>
      <c r="G49" t="s">
        <v>20</v>
      </c>
      <c r="H49">
        <v>4</v>
      </c>
      <c r="I49" s="3">
        <v>26074</v>
      </c>
      <c r="J49" s="2">
        <v>0.1</v>
      </c>
      <c r="K49" s="3">
        <v>93866.4</v>
      </c>
      <c r="L49" s="3">
        <v>48319.57</v>
      </c>
      <c r="M49" s="3">
        <v>45546.83</v>
      </c>
    </row>
    <row r="50" spans="1:13" x14ac:dyDescent="0.3">
      <c r="A50" t="s">
        <v>1924</v>
      </c>
      <c r="B50" s="4">
        <v>45619</v>
      </c>
      <c r="C50" t="s">
        <v>1923</v>
      </c>
      <c r="D50" t="s">
        <v>34</v>
      </c>
      <c r="E50" t="s">
        <v>24</v>
      </c>
      <c r="F50" t="s">
        <v>13</v>
      </c>
      <c r="G50" t="s">
        <v>20</v>
      </c>
      <c r="H50">
        <v>1</v>
      </c>
      <c r="I50" s="3">
        <v>9305</v>
      </c>
      <c r="J50" s="2">
        <v>0.15</v>
      </c>
      <c r="K50" s="3">
        <v>7909.25</v>
      </c>
      <c r="L50" s="3">
        <v>4856</v>
      </c>
      <c r="M50" s="3">
        <v>3053.25</v>
      </c>
    </row>
    <row r="51" spans="1:13" x14ac:dyDescent="0.3">
      <c r="A51" t="s">
        <v>1922</v>
      </c>
      <c r="B51" s="4">
        <v>45836</v>
      </c>
      <c r="C51" t="s">
        <v>1921</v>
      </c>
      <c r="D51" t="s">
        <v>42</v>
      </c>
      <c r="E51" t="s">
        <v>8</v>
      </c>
      <c r="F51" t="s">
        <v>33</v>
      </c>
      <c r="G51" t="s">
        <v>20</v>
      </c>
      <c r="H51">
        <v>12</v>
      </c>
      <c r="I51" s="3">
        <v>37331</v>
      </c>
      <c r="J51" s="2">
        <v>0.15</v>
      </c>
      <c r="K51" s="3">
        <v>380776.2</v>
      </c>
      <c r="L51" s="3">
        <v>258110.92</v>
      </c>
      <c r="M51" s="3">
        <v>122665.28</v>
      </c>
    </row>
    <row r="52" spans="1:13" x14ac:dyDescent="0.3">
      <c r="A52" t="s">
        <v>1920</v>
      </c>
      <c r="B52" s="4">
        <v>45800</v>
      </c>
      <c r="C52" t="s">
        <v>1919</v>
      </c>
      <c r="D52" t="s">
        <v>53</v>
      </c>
      <c r="E52" t="s">
        <v>2</v>
      </c>
      <c r="F52" t="s">
        <v>1</v>
      </c>
      <c r="G52" t="s">
        <v>16</v>
      </c>
      <c r="H52">
        <v>9</v>
      </c>
      <c r="I52" s="3">
        <v>35025</v>
      </c>
      <c r="J52" s="2">
        <v>0.2</v>
      </c>
      <c r="K52" s="3">
        <v>252180</v>
      </c>
      <c r="L52" s="3">
        <v>204887.23</v>
      </c>
      <c r="M52" s="3">
        <v>47292.77</v>
      </c>
    </row>
    <row r="53" spans="1:13" x14ac:dyDescent="0.3">
      <c r="A53" t="s">
        <v>1918</v>
      </c>
      <c r="B53" s="4">
        <v>45781</v>
      </c>
      <c r="C53" t="s">
        <v>1917</v>
      </c>
      <c r="D53" t="s">
        <v>17</v>
      </c>
      <c r="E53" t="s">
        <v>2</v>
      </c>
      <c r="F53" t="s">
        <v>1</v>
      </c>
      <c r="G53" t="s">
        <v>16</v>
      </c>
      <c r="H53">
        <v>2</v>
      </c>
      <c r="I53" s="3">
        <v>52427</v>
      </c>
      <c r="J53" s="2">
        <v>0.15</v>
      </c>
      <c r="K53" s="3">
        <v>89125.9</v>
      </c>
      <c r="L53" s="3">
        <v>54419.64</v>
      </c>
      <c r="M53" s="3">
        <v>34706.26</v>
      </c>
    </row>
    <row r="54" spans="1:13" x14ac:dyDescent="0.3">
      <c r="A54" t="s">
        <v>1916</v>
      </c>
      <c r="B54" s="4">
        <v>45717</v>
      </c>
      <c r="C54" t="s">
        <v>1915</v>
      </c>
      <c r="D54" t="s">
        <v>3</v>
      </c>
      <c r="E54" t="s">
        <v>2</v>
      </c>
      <c r="F54" t="s">
        <v>1</v>
      </c>
      <c r="G54" t="s">
        <v>6</v>
      </c>
      <c r="H54">
        <v>11</v>
      </c>
      <c r="I54" s="3">
        <v>40685</v>
      </c>
      <c r="J54" s="2">
        <v>0</v>
      </c>
      <c r="K54" s="3">
        <v>447535</v>
      </c>
      <c r="L54" s="3">
        <v>364275.25</v>
      </c>
      <c r="M54" s="3">
        <v>83259.75</v>
      </c>
    </row>
    <row r="55" spans="1:13" x14ac:dyDescent="0.3">
      <c r="A55" t="s">
        <v>1914</v>
      </c>
      <c r="B55" s="4">
        <v>45696</v>
      </c>
      <c r="C55" t="s">
        <v>1913</v>
      </c>
      <c r="D55" t="s">
        <v>9</v>
      </c>
      <c r="E55" t="s">
        <v>8</v>
      </c>
      <c r="F55" t="s">
        <v>33</v>
      </c>
      <c r="G55" t="s">
        <v>12</v>
      </c>
      <c r="H55">
        <v>6</v>
      </c>
      <c r="I55" s="3">
        <v>19740</v>
      </c>
      <c r="J55" s="2">
        <v>0.1</v>
      </c>
      <c r="K55" s="3">
        <v>106596</v>
      </c>
      <c r="L55" s="3">
        <v>86235.26</v>
      </c>
      <c r="M55" s="3">
        <v>20360.740000000002</v>
      </c>
    </row>
    <row r="56" spans="1:13" x14ac:dyDescent="0.3">
      <c r="A56" t="s">
        <v>1912</v>
      </c>
      <c r="B56" s="4">
        <v>46086</v>
      </c>
      <c r="C56" t="s">
        <v>1911</v>
      </c>
      <c r="D56" t="s">
        <v>42</v>
      </c>
      <c r="E56" t="s">
        <v>8</v>
      </c>
      <c r="F56" t="s">
        <v>1</v>
      </c>
      <c r="G56" t="s">
        <v>12</v>
      </c>
      <c r="H56">
        <v>7</v>
      </c>
      <c r="I56" s="3">
        <v>64866</v>
      </c>
      <c r="J56" s="2">
        <v>0.05</v>
      </c>
      <c r="K56" s="3">
        <v>431358.9</v>
      </c>
      <c r="L56" s="3">
        <v>365125.9</v>
      </c>
      <c r="M56" s="3">
        <v>66233</v>
      </c>
    </row>
    <row r="57" spans="1:13" x14ac:dyDescent="0.3">
      <c r="A57" t="s">
        <v>1910</v>
      </c>
      <c r="B57" s="4">
        <v>45933</v>
      </c>
      <c r="C57" t="s">
        <v>1909</v>
      </c>
      <c r="D57" t="s">
        <v>28</v>
      </c>
      <c r="E57" t="s">
        <v>8</v>
      </c>
      <c r="F57" t="s">
        <v>7</v>
      </c>
      <c r="G57" t="s">
        <v>0</v>
      </c>
      <c r="H57">
        <v>9</v>
      </c>
      <c r="I57" s="3">
        <v>53928</v>
      </c>
      <c r="J57" s="2">
        <v>0.1</v>
      </c>
      <c r="K57" s="3">
        <v>436816.8</v>
      </c>
      <c r="L57" s="3">
        <v>282815.62</v>
      </c>
      <c r="M57" s="3">
        <v>154001.18</v>
      </c>
    </row>
    <row r="58" spans="1:13" x14ac:dyDescent="0.3">
      <c r="A58" t="s">
        <v>1908</v>
      </c>
      <c r="B58" s="4">
        <v>46041</v>
      </c>
      <c r="C58" t="s">
        <v>1907</v>
      </c>
      <c r="D58" t="s">
        <v>53</v>
      </c>
      <c r="E58" t="s">
        <v>2</v>
      </c>
      <c r="F58" t="s">
        <v>33</v>
      </c>
      <c r="G58" t="s">
        <v>6</v>
      </c>
      <c r="H58">
        <v>6</v>
      </c>
      <c r="I58" s="3">
        <v>3553</v>
      </c>
      <c r="J58" s="2">
        <v>0.1</v>
      </c>
      <c r="K58" s="3">
        <v>19186.2</v>
      </c>
      <c r="L58" s="3">
        <v>13313.64</v>
      </c>
      <c r="M58" s="3">
        <v>5872.56</v>
      </c>
    </row>
    <row r="59" spans="1:13" x14ac:dyDescent="0.3">
      <c r="A59" t="s">
        <v>1906</v>
      </c>
      <c r="B59" s="4">
        <v>45771</v>
      </c>
      <c r="C59" t="s">
        <v>1905</v>
      </c>
      <c r="D59" t="s">
        <v>17</v>
      </c>
      <c r="E59" t="s">
        <v>2</v>
      </c>
      <c r="F59" t="s">
        <v>23</v>
      </c>
      <c r="G59" t="s">
        <v>37</v>
      </c>
      <c r="H59">
        <v>6</v>
      </c>
      <c r="I59" s="3">
        <v>68821</v>
      </c>
      <c r="J59" s="2">
        <v>0.2</v>
      </c>
      <c r="K59" s="3">
        <v>330340.8</v>
      </c>
      <c r="L59" s="3">
        <v>199330.59</v>
      </c>
      <c r="M59" s="3">
        <v>131010.21</v>
      </c>
    </row>
    <row r="60" spans="1:13" x14ac:dyDescent="0.3">
      <c r="A60" t="s">
        <v>1904</v>
      </c>
      <c r="B60" s="4">
        <v>45994</v>
      </c>
      <c r="C60" t="s">
        <v>1903</v>
      </c>
      <c r="D60" t="s">
        <v>3</v>
      </c>
      <c r="E60" t="s">
        <v>2</v>
      </c>
      <c r="F60" t="s">
        <v>1</v>
      </c>
      <c r="G60" t="s">
        <v>0</v>
      </c>
      <c r="H60">
        <v>2</v>
      </c>
      <c r="I60" s="3">
        <v>35808</v>
      </c>
      <c r="J60" s="2">
        <v>0.1</v>
      </c>
      <c r="K60" s="3">
        <v>64454.400000000001</v>
      </c>
      <c r="L60" s="3">
        <v>33120.269999999997</v>
      </c>
      <c r="M60" s="3">
        <v>31334.13</v>
      </c>
    </row>
    <row r="61" spans="1:13" x14ac:dyDescent="0.3">
      <c r="A61" t="s">
        <v>1902</v>
      </c>
      <c r="B61" s="4">
        <v>45996</v>
      </c>
      <c r="C61" t="s">
        <v>1901</v>
      </c>
      <c r="D61" t="s">
        <v>17</v>
      </c>
      <c r="E61" t="s">
        <v>2</v>
      </c>
      <c r="F61" t="s">
        <v>13</v>
      </c>
      <c r="G61" t="s">
        <v>20</v>
      </c>
      <c r="H61">
        <v>14</v>
      </c>
      <c r="I61" s="3">
        <v>34896</v>
      </c>
      <c r="J61" s="2">
        <v>0.15</v>
      </c>
      <c r="K61" s="3">
        <v>415262.4</v>
      </c>
      <c r="L61" s="3">
        <v>229340.61</v>
      </c>
      <c r="M61" s="3">
        <v>185921.79</v>
      </c>
    </row>
    <row r="62" spans="1:13" x14ac:dyDescent="0.3">
      <c r="A62" t="s">
        <v>1900</v>
      </c>
      <c r="B62" s="4">
        <v>45892</v>
      </c>
      <c r="C62" t="s">
        <v>1899</v>
      </c>
      <c r="D62" t="s">
        <v>34</v>
      </c>
      <c r="E62" t="s">
        <v>24</v>
      </c>
      <c r="F62" t="s">
        <v>1</v>
      </c>
      <c r="G62" t="s">
        <v>16</v>
      </c>
      <c r="H62">
        <v>6</v>
      </c>
      <c r="I62" s="3">
        <v>12725</v>
      </c>
      <c r="J62" s="2">
        <v>0.1</v>
      </c>
      <c r="K62" s="3">
        <v>68715</v>
      </c>
      <c r="L62" s="3">
        <v>35741.03</v>
      </c>
      <c r="M62" s="3">
        <v>32973.97</v>
      </c>
    </row>
    <row r="63" spans="1:13" x14ac:dyDescent="0.3">
      <c r="A63" t="s">
        <v>1898</v>
      </c>
      <c r="B63" s="4">
        <v>46075</v>
      </c>
      <c r="C63" t="s">
        <v>1897</v>
      </c>
      <c r="D63" t="s">
        <v>17</v>
      </c>
      <c r="E63" t="s">
        <v>2</v>
      </c>
      <c r="F63" t="s">
        <v>1</v>
      </c>
      <c r="G63" t="s">
        <v>37</v>
      </c>
      <c r="H63">
        <v>1</v>
      </c>
      <c r="I63" s="3">
        <v>12608</v>
      </c>
      <c r="J63" s="2">
        <v>0.1</v>
      </c>
      <c r="K63" s="3">
        <v>11347.2</v>
      </c>
      <c r="L63" s="3">
        <v>6006.19</v>
      </c>
      <c r="M63" s="3">
        <v>5341.01</v>
      </c>
    </row>
    <row r="64" spans="1:13" x14ac:dyDescent="0.3">
      <c r="A64" t="s">
        <v>1896</v>
      </c>
      <c r="B64" s="4">
        <v>45555</v>
      </c>
      <c r="C64" t="s">
        <v>1895</v>
      </c>
      <c r="D64" t="s">
        <v>25</v>
      </c>
      <c r="E64" t="s">
        <v>24</v>
      </c>
      <c r="F64" t="s">
        <v>33</v>
      </c>
      <c r="G64" t="s">
        <v>0</v>
      </c>
      <c r="H64">
        <v>8</v>
      </c>
      <c r="I64" s="3">
        <v>2513</v>
      </c>
      <c r="J64" s="2">
        <v>0.1</v>
      </c>
      <c r="K64" s="3">
        <v>18093.599999999999</v>
      </c>
      <c r="L64" s="3">
        <v>15343.5</v>
      </c>
      <c r="M64" s="3">
        <v>2750.1</v>
      </c>
    </row>
    <row r="65" spans="1:13" x14ac:dyDescent="0.3">
      <c r="A65" t="s">
        <v>1894</v>
      </c>
      <c r="B65" s="4">
        <v>45998</v>
      </c>
      <c r="C65" t="s">
        <v>1893</v>
      </c>
      <c r="D65" t="s">
        <v>42</v>
      </c>
      <c r="E65" t="s">
        <v>8</v>
      </c>
      <c r="F65" t="s">
        <v>1</v>
      </c>
      <c r="G65" t="s">
        <v>0</v>
      </c>
      <c r="H65">
        <v>1</v>
      </c>
      <c r="I65" s="3">
        <v>70063</v>
      </c>
      <c r="J65" s="2">
        <v>0.05</v>
      </c>
      <c r="K65" s="3">
        <v>66559.850000000006</v>
      </c>
      <c r="L65" s="3">
        <v>55134.46</v>
      </c>
      <c r="M65" s="3">
        <v>11425.39</v>
      </c>
    </row>
    <row r="66" spans="1:13" x14ac:dyDescent="0.3">
      <c r="A66" t="s">
        <v>1892</v>
      </c>
      <c r="B66" s="4">
        <v>45770</v>
      </c>
      <c r="C66" t="s">
        <v>1891</v>
      </c>
      <c r="D66" t="s">
        <v>3</v>
      </c>
      <c r="E66" t="s">
        <v>2</v>
      </c>
      <c r="F66" t="s">
        <v>1</v>
      </c>
      <c r="G66" t="s">
        <v>0</v>
      </c>
      <c r="H66">
        <v>4</v>
      </c>
      <c r="I66" s="3">
        <v>41893</v>
      </c>
      <c r="J66" s="2">
        <v>0.1</v>
      </c>
      <c r="K66" s="3">
        <v>150814.79999999999</v>
      </c>
      <c r="L66" s="3">
        <v>103440.86</v>
      </c>
      <c r="M66" s="3">
        <v>47373.94</v>
      </c>
    </row>
    <row r="67" spans="1:13" x14ac:dyDescent="0.3">
      <c r="A67" t="s">
        <v>1890</v>
      </c>
      <c r="B67" s="4">
        <v>45599</v>
      </c>
      <c r="C67" t="s">
        <v>1889</v>
      </c>
      <c r="D67" t="s">
        <v>34</v>
      </c>
      <c r="E67" t="s">
        <v>24</v>
      </c>
      <c r="F67" t="s">
        <v>23</v>
      </c>
      <c r="G67" t="s">
        <v>0</v>
      </c>
      <c r="H67">
        <v>11</v>
      </c>
      <c r="I67" s="3">
        <v>24317</v>
      </c>
      <c r="J67" s="2">
        <v>0.1</v>
      </c>
      <c r="K67" s="3">
        <v>240738.3</v>
      </c>
      <c r="L67" s="3">
        <v>149606.9</v>
      </c>
      <c r="M67" s="3">
        <v>91131.4</v>
      </c>
    </row>
    <row r="68" spans="1:13" x14ac:dyDescent="0.3">
      <c r="A68" t="s">
        <v>1888</v>
      </c>
      <c r="B68" s="4">
        <v>45635</v>
      </c>
      <c r="C68" t="s">
        <v>1887</v>
      </c>
      <c r="D68" t="s">
        <v>3</v>
      </c>
      <c r="E68" t="s">
        <v>2</v>
      </c>
      <c r="F68" t="s">
        <v>13</v>
      </c>
      <c r="G68" t="s">
        <v>16</v>
      </c>
      <c r="H68">
        <v>1</v>
      </c>
      <c r="I68" s="3">
        <v>67277</v>
      </c>
      <c r="J68" s="2">
        <v>0.2</v>
      </c>
      <c r="K68" s="3">
        <v>53821.599999999999</v>
      </c>
      <c r="L68" s="3">
        <v>45334.91</v>
      </c>
      <c r="M68" s="3">
        <v>8486.69</v>
      </c>
    </row>
    <row r="69" spans="1:13" x14ac:dyDescent="0.3">
      <c r="A69" t="s">
        <v>1886</v>
      </c>
      <c r="B69" s="4">
        <v>46008</v>
      </c>
      <c r="C69" t="s">
        <v>1885</v>
      </c>
      <c r="D69" t="s">
        <v>17</v>
      </c>
      <c r="E69" t="s">
        <v>2</v>
      </c>
      <c r="F69" t="s">
        <v>33</v>
      </c>
      <c r="G69" t="s">
        <v>20</v>
      </c>
      <c r="H69">
        <v>2</v>
      </c>
      <c r="I69" s="3">
        <v>57646</v>
      </c>
      <c r="J69" s="2">
        <v>0.15</v>
      </c>
      <c r="K69" s="3">
        <v>97998.2</v>
      </c>
      <c r="L69" s="3">
        <v>67723.34</v>
      </c>
      <c r="M69" s="3">
        <v>30274.86</v>
      </c>
    </row>
    <row r="70" spans="1:13" x14ac:dyDescent="0.3">
      <c r="A70" t="s">
        <v>1884</v>
      </c>
      <c r="B70" s="4">
        <v>46136</v>
      </c>
      <c r="C70" t="s">
        <v>1883</v>
      </c>
      <c r="D70" t="s">
        <v>34</v>
      </c>
      <c r="E70" t="s">
        <v>24</v>
      </c>
      <c r="F70" t="s">
        <v>1</v>
      </c>
      <c r="G70" t="s">
        <v>16</v>
      </c>
      <c r="H70">
        <v>4</v>
      </c>
      <c r="I70" s="3">
        <v>31089</v>
      </c>
      <c r="J70" s="2">
        <v>0.1</v>
      </c>
      <c r="K70" s="3">
        <v>111920.4</v>
      </c>
      <c r="L70" s="3">
        <v>63740.75</v>
      </c>
      <c r="M70" s="3">
        <v>48179.65</v>
      </c>
    </row>
    <row r="71" spans="1:13" x14ac:dyDescent="0.3">
      <c r="A71" t="s">
        <v>1882</v>
      </c>
      <c r="B71" s="4">
        <v>45535</v>
      </c>
      <c r="C71" t="s">
        <v>1881</v>
      </c>
      <c r="D71" t="s">
        <v>25</v>
      </c>
      <c r="E71" t="s">
        <v>24</v>
      </c>
      <c r="F71" t="s">
        <v>7</v>
      </c>
      <c r="G71" t="s">
        <v>16</v>
      </c>
      <c r="H71">
        <v>14</v>
      </c>
      <c r="I71" s="3">
        <v>18015</v>
      </c>
      <c r="J71" s="2">
        <v>0</v>
      </c>
      <c r="K71" s="3">
        <v>252210</v>
      </c>
      <c r="L71" s="3">
        <v>132347.95000000001</v>
      </c>
      <c r="M71" s="3">
        <v>119862.05</v>
      </c>
    </row>
    <row r="72" spans="1:13" x14ac:dyDescent="0.3">
      <c r="A72" t="s">
        <v>1880</v>
      </c>
      <c r="B72" s="4">
        <v>45775</v>
      </c>
      <c r="C72" t="s">
        <v>1879</v>
      </c>
      <c r="D72" t="s">
        <v>3</v>
      </c>
      <c r="E72" t="s">
        <v>2</v>
      </c>
      <c r="F72" t="s">
        <v>7</v>
      </c>
      <c r="G72" t="s">
        <v>20</v>
      </c>
      <c r="H72">
        <v>2</v>
      </c>
      <c r="I72" s="3">
        <v>50922</v>
      </c>
      <c r="J72" s="2">
        <v>0.2</v>
      </c>
      <c r="K72" s="3">
        <v>81475.199999999997</v>
      </c>
      <c r="L72" s="3">
        <v>59859.03</v>
      </c>
      <c r="M72" s="3">
        <v>21616.17</v>
      </c>
    </row>
    <row r="73" spans="1:13" x14ac:dyDescent="0.3">
      <c r="A73" t="s">
        <v>1878</v>
      </c>
      <c r="B73" s="4">
        <v>45550</v>
      </c>
      <c r="C73" t="s">
        <v>1877</v>
      </c>
      <c r="D73" t="s">
        <v>53</v>
      </c>
      <c r="E73" t="s">
        <v>2</v>
      </c>
      <c r="F73" t="s">
        <v>7</v>
      </c>
      <c r="G73" t="s">
        <v>16</v>
      </c>
      <c r="H73">
        <v>5</v>
      </c>
      <c r="I73" s="3">
        <v>6929</v>
      </c>
      <c r="J73" s="2">
        <v>0.15</v>
      </c>
      <c r="K73" s="3">
        <v>29448.25</v>
      </c>
      <c r="L73" s="3">
        <v>16634.53</v>
      </c>
      <c r="M73" s="3">
        <v>12813.72</v>
      </c>
    </row>
    <row r="74" spans="1:13" x14ac:dyDescent="0.3">
      <c r="A74" t="s">
        <v>1876</v>
      </c>
      <c r="B74" s="4">
        <v>45866</v>
      </c>
      <c r="C74" t="s">
        <v>1875</v>
      </c>
      <c r="D74" t="s">
        <v>17</v>
      </c>
      <c r="E74" t="s">
        <v>2</v>
      </c>
      <c r="F74" t="s">
        <v>23</v>
      </c>
      <c r="G74" t="s">
        <v>0</v>
      </c>
      <c r="H74">
        <v>6</v>
      </c>
      <c r="I74" s="3">
        <v>44113</v>
      </c>
      <c r="J74" s="2">
        <v>0.2</v>
      </c>
      <c r="K74" s="3">
        <v>211742.4</v>
      </c>
      <c r="L74" s="3">
        <v>129848.25</v>
      </c>
      <c r="M74" s="3">
        <v>81894.149999999994</v>
      </c>
    </row>
    <row r="75" spans="1:13" x14ac:dyDescent="0.3">
      <c r="A75" t="s">
        <v>1874</v>
      </c>
      <c r="B75" s="4">
        <v>45808</v>
      </c>
      <c r="C75" t="s">
        <v>1873</v>
      </c>
      <c r="D75" t="s">
        <v>17</v>
      </c>
      <c r="E75" t="s">
        <v>2</v>
      </c>
      <c r="F75" t="s">
        <v>33</v>
      </c>
      <c r="G75" t="s">
        <v>0</v>
      </c>
      <c r="H75">
        <v>3</v>
      </c>
      <c r="I75" s="3">
        <v>1140</v>
      </c>
      <c r="J75" s="2">
        <v>0.1</v>
      </c>
      <c r="K75" s="3">
        <v>3078</v>
      </c>
      <c r="L75" s="3">
        <v>1950.13</v>
      </c>
      <c r="M75" s="3">
        <v>1127.8699999999999</v>
      </c>
    </row>
    <row r="76" spans="1:13" x14ac:dyDescent="0.3">
      <c r="A76" t="s">
        <v>1872</v>
      </c>
      <c r="B76" s="4">
        <v>45627</v>
      </c>
      <c r="C76" t="s">
        <v>1871</v>
      </c>
      <c r="D76" t="s">
        <v>9</v>
      </c>
      <c r="E76" t="s">
        <v>8</v>
      </c>
      <c r="F76" t="s">
        <v>23</v>
      </c>
      <c r="G76" t="s">
        <v>0</v>
      </c>
      <c r="H76">
        <v>4</v>
      </c>
      <c r="I76" s="3">
        <v>33529</v>
      </c>
      <c r="J76" s="2">
        <v>0.2</v>
      </c>
      <c r="K76" s="3">
        <v>107292.8</v>
      </c>
      <c r="L76" s="3">
        <v>82796.06</v>
      </c>
      <c r="M76" s="3">
        <v>24496.74</v>
      </c>
    </row>
    <row r="77" spans="1:13" x14ac:dyDescent="0.3">
      <c r="A77" t="s">
        <v>1870</v>
      </c>
      <c r="B77" s="4">
        <v>45785</v>
      </c>
      <c r="C77" t="s">
        <v>1869</v>
      </c>
      <c r="D77" t="s">
        <v>3</v>
      </c>
      <c r="E77" t="s">
        <v>2</v>
      </c>
      <c r="F77" t="s">
        <v>7</v>
      </c>
      <c r="G77" t="s">
        <v>6</v>
      </c>
      <c r="H77">
        <v>7</v>
      </c>
      <c r="I77" s="3">
        <v>6461</v>
      </c>
      <c r="J77" s="2">
        <v>0.15</v>
      </c>
      <c r="K77" s="3">
        <v>38442.949999999997</v>
      </c>
      <c r="L77" s="3">
        <v>19524.13</v>
      </c>
      <c r="M77" s="3">
        <v>18918.82</v>
      </c>
    </row>
    <row r="78" spans="1:13" x14ac:dyDescent="0.3">
      <c r="A78" t="s">
        <v>1868</v>
      </c>
      <c r="B78" s="4">
        <v>45778</v>
      </c>
      <c r="C78" t="s">
        <v>1867</v>
      </c>
      <c r="D78" t="s">
        <v>3</v>
      </c>
      <c r="E78" t="s">
        <v>2</v>
      </c>
      <c r="F78" t="s">
        <v>13</v>
      </c>
      <c r="G78" t="s">
        <v>16</v>
      </c>
      <c r="H78">
        <v>10</v>
      </c>
      <c r="I78" s="3">
        <v>70361</v>
      </c>
      <c r="J78" s="2">
        <v>0.05</v>
      </c>
      <c r="K78" s="3">
        <v>668429.5</v>
      </c>
      <c r="L78" s="3">
        <v>488047.31</v>
      </c>
      <c r="M78" s="3">
        <v>180382.19</v>
      </c>
    </row>
    <row r="79" spans="1:13" x14ac:dyDescent="0.3">
      <c r="A79" t="s">
        <v>1866</v>
      </c>
      <c r="B79" s="4">
        <v>45588</v>
      </c>
      <c r="C79" t="s">
        <v>1865</v>
      </c>
      <c r="D79" t="s">
        <v>34</v>
      </c>
      <c r="E79" t="s">
        <v>24</v>
      </c>
      <c r="F79" t="s">
        <v>1</v>
      </c>
      <c r="G79" t="s">
        <v>37</v>
      </c>
      <c r="H79">
        <v>8</v>
      </c>
      <c r="I79" s="3">
        <v>20590</v>
      </c>
      <c r="J79" s="2">
        <v>0.1</v>
      </c>
      <c r="K79" s="3">
        <v>148248</v>
      </c>
      <c r="L79" s="3">
        <v>111698.13</v>
      </c>
      <c r="M79" s="3">
        <v>36549.870000000003</v>
      </c>
    </row>
    <row r="80" spans="1:13" x14ac:dyDescent="0.3">
      <c r="A80" t="s">
        <v>1864</v>
      </c>
      <c r="B80" s="4">
        <v>45805</v>
      </c>
      <c r="C80" t="s">
        <v>1863</v>
      </c>
      <c r="D80" t="s">
        <v>9</v>
      </c>
      <c r="E80" t="s">
        <v>8</v>
      </c>
      <c r="F80" t="s">
        <v>13</v>
      </c>
      <c r="G80" t="s">
        <v>20</v>
      </c>
      <c r="H80">
        <v>11</v>
      </c>
      <c r="I80" s="3">
        <v>57261</v>
      </c>
      <c r="J80" s="2">
        <v>0.2</v>
      </c>
      <c r="K80" s="3">
        <v>503896.8</v>
      </c>
      <c r="L80" s="3">
        <v>276517.23</v>
      </c>
      <c r="M80" s="3">
        <v>227379.57</v>
      </c>
    </row>
    <row r="81" spans="1:13" x14ac:dyDescent="0.3">
      <c r="A81" t="s">
        <v>1862</v>
      </c>
      <c r="B81" s="4">
        <v>46114</v>
      </c>
      <c r="C81" t="s">
        <v>1861</v>
      </c>
      <c r="D81" t="s">
        <v>42</v>
      </c>
      <c r="E81" t="s">
        <v>8</v>
      </c>
      <c r="F81" t="s">
        <v>1</v>
      </c>
      <c r="G81" t="s">
        <v>6</v>
      </c>
      <c r="H81">
        <v>14</v>
      </c>
      <c r="I81" s="3">
        <v>31138</v>
      </c>
      <c r="J81" s="2">
        <v>0</v>
      </c>
      <c r="K81" s="3">
        <v>435932</v>
      </c>
      <c r="L81" s="3">
        <v>222720.35</v>
      </c>
      <c r="M81" s="3">
        <v>213211.65</v>
      </c>
    </row>
    <row r="82" spans="1:13" x14ac:dyDescent="0.3">
      <c r="A82" t="s">
        <v>1860</v>
      </c>
      <c r="B82" s="4">
        <v>45591</v>
      </c>
      <c r="C82" t="s">
        <v>1859</v>
      </c>
      <c r="D82" t="s">
        <v>25</v>
      </c>
      <c r="E82" t="s">
        <v>24</v>
      </c>
      <c r="F82" t="s">
        <v>23</v>
      </c>
      <c r="G82" t="s">
        <v>6</v>
      </c>
      <c r="H82">
        <v>7</v>
      </c>
      <c r="I82" s="3">
        <v>60164</v>
      </c>
      <c r="J82" s="2">
        <v>0.2</v>
      </c>
      <c r="K82" s="3">
        <v>336918.4</v>
      </c>
      <c r="L82" s="3">
        <v>174447.29</v>
      </c>
      <c r="M82" s="3">
        <v>162471.10999999999</v>
      </c>
    </row>
    <row r="83" spans="1:13" x14ac:dyDescent="0.3">
      <c r="A83" t="s">
        <v>1858</v>
      </c>
      <c r="B83" s="4">
        <v>45777</v>
      </c>
      <c r="C83" t="s">
        <v>1857</v>
      </c>
      <c r="D83" t="s">
        <v>9</v>
      </c>
      <c r="E83" t="s">
        <v>8</v>
      </c>
      <c r="F83" t="s">
        <v>23</v>
      </c>
      <c r="G83" t="s">
        <v>6</v>
      </c>
      <c r="H83">
        <v>4</v>
      </c>
      <c r="I83" s="3">
        <v>65132</v>
      </c>
      <c r="J83" s="2">
        <v>0.1</v>
      </c>
      <c r="K83" s="3">
        <v>234475.2</v>
      </c>
      <c r="L83" s="3">
        <v>117509.59</v>
      </c>
      <c r="M83" s="3">
        <v>116965.61</v>
      </c>
    </row>
    <row r="84" spans="1:13" x14ac:dyDescent="0.3">
      <c r="A84" t="s">
        <v>1856</v>
      </c>
      <c r="B84" s="4">
        <v>45599</v>
      </c>
      <c r="C84" t="s">
        <v>1855</v>
      </c>
      <c r="D84" t="s">
        <v>9</v>
      </c>
      <c r="E84" t="s">
        <v>8</v>
      </c>
      <c r="F84" t="s">
        <v>33</v>
      </c>
      <c r="G84" t="s">
        <v>0</v>
      </c>
      <c r="H84">
        <v>2</v>
      </c>
      <c r="I84" s="3">
        <v>69942</v>
      </c>
      <c r="J84" s="2">
        <v>0</v>
      </c>
      <c r="K84" s="3">
        <v>139884</v>
      </c>
      <c r="L84" s="3">
        <v>106452.39</v>
      </c>
      <c r="M84" s="3">
        <v>33431.61</v>
      </c>
    </row>
    <row r="85" spans="1:13" x14ac:dyDescent="0.3">
      <c r="A85" t="s">
        <v>1854</v>
      </c>
      <c r="B85" s="4">
        <v>45553</v>
      </c>
      <c r="C85" t="s">
        <v>1853</v>
      </c>
      <c r="D85" t="s">
        <v>17</v>
      </c>
      <c r="E85" t="s">
        <v>2</v>
      </c>
      <c r="F85" t="s">
        <v>33</v>
      </c>
      <c r="G85" t="s">
        <v>16</v>
      </c>
      <c r="H85">
        <v>4</v>
      </c>
      <c r="I85" s="3">
        <v>27898</v>
      </c>
      <c r="J85" s="2">
        <v>0.05</v>
      </c>
      <c r="K85" s="3">
        <v>106012.4</v>
      </c>
      <c r="L85" s="3">
        <v>80457.05</v>
      </c>
      <c r="M85" s="3">
        <v>25555.35</v>
      </c>
    </row>
    <row r="86" spans="1:13" x14ac:dyDescent="0.3">
      <c r="A86" t="s">
        <v>1852</v>
      </c>
      <c r="B86" s="4">
        <v>45630</v>
      </c>
      <c r="C86" t="s">
        <v>1851</v>
      </c>
      <c r="D86" t="s">
        <v>25</v>
      </c>
      <c r="E86" t="s">
        <v>24</v>
      </c>
      <c r="F86" t="s">
        <v>1</v>
      </c>
      <c r="G86" t="s">
        <v>37</v>
      </c>
      <c r="H86">
        <v>8</v>
      </c>
      <c r="I86" s="3">
        <v>38659</v>
      </c>
      <c r="J86" s="2">
        <v>0</v>
      </c>
      <c r="K86" s="3">
        <v>309272</v>
      </c>
      <c r="L86" s="3">
        <v>221420.48</v>
      </c>
      <c r="M86" s="3">
        <v>87851.520000000004</v>
      </c>
    </row>
    <row r="87" spans="1:13" x14ac:dyDescent="0.3">
      <c r="A87" t="s">
        <v>1850</v>
      </c>
      <c r="B87" s="4">
        <v>45507</v>
      </c>
      <c r="C87" t="s">
        <v>1849</v>
      </c>
      <c r="D87" t="s">
        <v>42</v>
      </c>
      <c r="E87" t="s">
        <v>8</v>
      </c>
      <c r="F87" t="s">
        <v>1</v>
      </c>
      <c r="G87" t="s">
        <v>37</v>
      </c>
      <c r="H87">
        <v>6</v>
      </c>
      <c r="I87" s="3">
        <v>34284</v>
      </c>
      <c r="J87" s="2">
        <v>0.1</v>
      </c>
      <c r="K87" s="3">
        <v>185133.6</v>
      </c>
      <c r="L87" s="3">
        <v>132815.35999999999</v>
      </c>
      <c r="M87" s="3">
        <v>52318.239999999998</v>
      </c>
    </row>
    <row r="88" spans="1:13" x14ac:dyDescent="0.3">
      <c r="A88" t="s">
        <v>1848</v>
      </c>
      <c r="B88" s="4">
        <v>46080</v>
      </c>
      <c r="C88" t="s">
        <v>1847</v>
      </c>
      <c r="D88" t="s">
        <v>25</v>
      </c>
      <c r="E88" t="s">
        <v>24</v>
      </c>
      <c r="F88" t="s">
        <v>33</v>
      </c>
      <c r="G88" t="s">
        <v>0</v>
      </c>
      <c r="H88">
        <v>8</v>
      </c>
      <c r="I88" s="3">
        <v>36228</v>
      </c>
      <c r="J88" s="2">
        <v>0</v>
      </c>
      <c r="K88" s="3">
        <v>289824</v>
      </c>
      <c r="L88" s="3">
        <v>215126.16</v>
      </c>
      <c r="M88" s="3">
        <v>74697.84</v>
      </c>
    </row>
    <row r="89" spans="1:13" x14ac:dyDescent="0.3">
      <c r="A89" t="s">
        <v>1846</v>
      </c>
      <c r="B89" s="4">
        <v>45747</v>
      </c>
      <c r="C89" t="s">
        <v>1845</v>
      </c>
      <c r="D89" t="s">
        <v>9</v>
      </c>
      <c r="E89" t="s">
        <v>8</v>
      </c>
      <c r="F89" t="s">
        <v>23</v>
      </c>
      <c r="G89" t="s">
        <v>20</v>
      </c>
      <c r="H89">
        <v>5</v>
      </c>
      <c r="I89" s="3">
        <v>61904</v>
      </c>
      <c r="J89" s="2">
        <v>0.15</v>
      </c>
      <c r="K89" s="3">
        <v>263092</v>
      </c>
      <c r="L89" s="3">
        <v>174487.54</v>
      </c>
      <c r="M89" s="3">
        <v>88604.46</v>
      </c>
    </row>
    <row r="90" spans="1:13" x14ac:dyDescent="0.3">
      <c r="A90" t="s">
        <v>1844</v>
      </c>
      <c r="B90" s="4">
        <v>45994</v>
      </c>
      <c r="C90" t="s">
        <v>1843</v>
      </c>
      <c r="D90" t="s">
        <v>17</v>
      </c>
      <c r="E90" t="s">
        <v>2</v>
      </c>
      <c r="F90" t="s">
        <v>23</v>
      </c>
      <c r="G90" t="s">
        <v>20</v>
      </c>
      <c r="H90">
        <v>2</v>
      </c>
      <c r="I90" s="3">
        <v>62989</v>
      </c>
      <c r="J90" s="2">
        <v>0</v>
      </c>
      <c r="K90" s="3">
        <v>125978</v>
      </c>
      <c r="L90" s="3">
        <v>75757.64</v>
      </c>
      <c r="M90" s="3">
        <v>50220.36</v>
      </c>
    </row>
    <row r="91" spans="1:13" x14ac:dyDescent="0.3">
      <c r="A91" t="s">
        <v>1842</v>
      </c>
      <c r="B91" s="4">
        <v>45980</v>
      </c>
      <c r="C91" t="s">
        <v>1841</v>
      </c>
      <c r="D91" t="s">
        <v>56</v>
      </c>
      <c r="E91" t="s">
        <v>24</v>
      </c>
      <c r="F91" t="s">
        <v>23</v>
      </c>
      <c r="G91" t="s">
        <v>12</v>
      </c>
      <c r="H91">
        <v>7</v>
      </c>
      <c r="I91" s="3">
        <v>28503</v>
      </c>
      <c r="J91" s="2">
        <v>0.05</v>
      </c>
      <c r="K91" s="3">
        <v>189544.95</v>
      </c>
      <c r="L91" s="3">
        <v>99722.35</v>
      </c>
      <c r="M91" s="3">
        <v>89822.6</v>
      </c>
    </row>
    <row r="92" spans="1:13" x14ac:dyDescent="0.3">
      <c r="A92" t="s">
        <v>1840</v>
      </c>
      <c r="B92" s="4">
        <v>45831</v>
      </c>
      <c r="C92" t="s">
        <v>1839</v>
      </c>
      <c r="D92" t="s">
        <v>9</v>
      </c>
      <c r="E92" t="s">
        <v>8</v>
      </c>
      <c r="F92" t="s">
        <v>13</v>
      </c>
      <c r="G92" t="s">
        <v>0</v>
      </c>
      <c r="H92">
        <v>5</v>
      </c>
      <c r="I92" s="3">
        <v>48127</v>
      </c>
      <c r="J92" s="2">
        <v>0.05</v>
      </c>
      <c r="K92" s="3">
        <v>228603.25</v>
      </c>
      <c r="L92" s="3">
        <v>162577.60000000001</v>
      </c>
      <c r="M92" s="3">
        <v>66025.649999999994</v>
      </c>
    </row>
    <row r="93" spans="1:13" x14ac:dyDescent="0.3">
      <c r="A93" t="s">
        <v>1838</v>
      </c>
      <c r="B93" s="4">
        <v>45611</v>
      </c>
      <c r="C93" t="s">
        <v>1837</v>
      </c>
      <c r="D93" t="s">
        <v>53</v>
      </c>
      <c r="E93" t="s">
        <v>2</v>
      </c>
      <c r="F93" t="s">
        <v>33</v>
      </c>
      <c r="G93" t="s">
        <v>16</v>
      </c>
      <c r="H93">
        <v>6</v>
      </c>
      <c r="I93" s="3">
        <v>31327</v>
      </c>
      <c r="J93" s="2">
        <v>0.15</v>
      </c>
      <c r="K93" s="3">
        <v>159767.70000000001</v>
      </c>
      <c r="L93" s="3">
        <v>130082.38</v>
      </c>
      <c r="M93" s="3">
        <v>29685.32</v>
      </c>
    </row>
    <row r="94" spans="1:13" x14ac:dyDescent="0.3">
      <c r="A94" t="s">
        <v>1836</v>
      </c>
      <c r="B94" s="4">
        <v>45464</v>
      </c>
      <c r="C94" t="s">
        <v>1835</v>
      </c>
      <c r="D94" t="s">
        <v>3</v>
      </c>
      <c r="E94" t="s">
        <v>2</v>
      </c>
      <c r="F94" t="s">
        <v>1</v>
      </c>
      <c r="G94" t="s">
        <v>16</v>
      </c>
      <c r="H94">
        <v>1</v>
      </c>
      <c r="I94" s="3">
        <v>65447</v>
      </c>
      <c r="J94" s="2">
        <v>0.15</v>
      </c>
      <c r="K94" s="3">
        <v>55629.95</v>
      </c>
      <c r="L94" s="3">
        <v>35708.68</v>
      </c>
      <c r="M94" s="3">
        <v>19921.27</v>
      </c>
    </row>
    <row r="95" spans="1:13" x14ac:dyDescent="0.3">
      <c r="A95" t="s">
        <v>1834</v>
      </c>
      <c r="B95" s="4">
        <v>46070</v>
      </c>
      <c r="C95" t="s">
        <v>1833</v>
      </c>
      <c r="D95" t="s">
        <v>56</v>
      </c>
      <c r="E95" t="s">
        <v>24</v>
      </c>
      <c r="F95" t="s">
        <v>7</v>
      </c>
      <c r="G95" t="s">
        <v>16</v>
      </c>
      <c r="H95">
        <v>6</v>
      </c>
      <c r="I95" s="3">
        <v>16847</v>
      </c>
      <c r="J95" s="2">
        <v>0.1</v>
      </c>
      <c r="K95" s="3">
        <v>90973.8</v>
      </c>
      <c r="L95" s="3">
        <v>45542.35</v>
      </c>
      <c r="M95" s="3">
        <v>45431.45</v>
      </c>
    </row>
    <row r="96" spans="1:13" x14ac:dyDescent="0.3">
      <c r="A96" t="s">
        <v>1832</v>
      </c>
      <c r="B96" s="4">
        <v>45634</v>
      </c>
      <c r="C96" t="s">
        <v>1831</v>
      </c>
      <c r="D96" t="s">
        <v>3</v>
      </c>
      <c r="E96" t="s">
        <v>2</v>
      </c>
      <c r="F96" t="s">
        <v>23</v>
      </c>
      <c r="G96" t="s">
        <v>16</v>
      </c>
      <c r="H96">
        <v>12</v>
      </c>
      <c r="I96" s="3">
        <v>2536</v>
      </c>
      <c r="J96" s="2">
        <v>0.1</v>
      </c>
      <c r="K96" s="3">
        <v>27388.799999999999</v>
      </c>
      <c r="L96" s="3">
        <v>16121.71</v>
      </c>
      <c r="M96" s="3">
        <v>11267.09</v>
      </c>
    </row>
    <row r="97" spans="1:13" x14ac:dyDescent="0.3">
      <c r="A97" t="s">
        <v>1830</v>
      </c>
      <c r="B97" s="4">
        <v>45818</v>
      </c>
      <c r="C97" t="s">
        <v>1829</v>
      </c>
      <c r="D97" t="s">
        <v>34</v>
      </c>
      <c r="E97" t="s">
        <v>24</v>
      </c>
      <c r="F97" t="s">
        <v>23</v>
      </c>
      <c r="G97" t="s">
        <v>0</v>
      </c>
      <c r="H97">
        <v>2</v>
      </c>
      <c r="I97" s="3">
        <v>48278</v>
      </c>
      <c r="J97" s="2">
        <v>0.15</v>
      </c>
      <c r="K97" s="3">
        <v>82072.600000000006</v>
      </c>
      <c r="L97" s="3">
        <v>62742.84</v>
      </c>
      <c r="M97" s="3">
        <v>19329.759999999998</v>
      </c>
    </row>
    <row r="98" spans="1:13" x14ac:dyDescent="0.3">
      <c r="A98" t="s">
        <v>1828</v>
      </c>
      <c r="B98" s="4">
        <v>45968</v>
      </c>
      <c r="C98" t="s">
        <v>1827</v>
      </c>
      <c r="D98" t="s">
        <v>3</v>
      </c>
      <c r="E98" t="s">
        <v>2</v>
      </c>
      <c r="F98" t="s">
        <v>7</v>
      </c>
      <c r="G98" t="s">
        <v>16</v>
      </c>
      <c r="H98">
        <v>14</v>
      </c>
      <c r="I98" s="3">
        <v>38437</v>
      </c>
      <c r="J98" s="2">
        <v>0.05</v>
      </c>
      <c r="K98" s="3">
        <v>511212.1</v>
      </c>
      <c r="L98" s="3">
        <v>300216.28000000003</v>
      </c>
      <c r="M98" s="3">
        <v>210995.82</v>
      </c>
    </row>
    <row r="99" spans="1:13" x14ac:dyDescent="0.3">
      <c r="A99" t="s">
        <v>1826</v>
      </c>
      <c r="B99" s="4">
        <v>45447</v>
      </c>
      <c r="C99" t="s">
        <v>1825</v>
      </c>
      <c r="D99" t="s">
        <v>28</v>
      </c>
      <c r="E99" t="s">
        <v>8</v>
      </c>
      <c r="F99" t="s">
        <v>33</v>
      </c>
      <c r="G99" t="s">
        <v>20</v>
      </c>
      <c r="H99">
        <v>4</v>
      </c>
      <c r="I99" s="3">
        <v>49935</v>
      </c>
      <c r="J99" s="2">
        <v>0.15</v>
      </c>
      <c r="K99" s="3">
        <v>169779</v>
      </c>
      <c r="L99" s="3">
        <v>137434.96</v>
      </c>
      <c r="M99" s="3">
        <v>32344.04</v>
      </c>
    </row>
    <row r="100" spans="1:13" x14ac:dyDescent="0.3">
      <c r="A100" t="s">
        <v>1824</v>
      </c>
      <c r="B100" s="4">
        <v>46099</v>
      </c>
      <c r="C100" t="s">
        <v>1823</v>
      </c>
      <c r="D100" t="s">
        <v>42</v>
      </c>
      <c r="E100" t="s">
        <v>8</v>
      </c>
      <c r="F100" t="s">
        <v>33</v>
      </c>
      <c r="G100" t="s">
        <v>16</v>
      </c>
      <c r="H100">
        <v>12</v>
      </c>
      <c r="I100" s="3">
        <v>11561</v>
      </c>
      <c r="J100" s="2">
        <v>0</v>
      </c>
      <c r="K100" s="3">
        <v>138732</v>
      </c>
      <c r="L100" s="3">
        <v>114691.53</v>
      </c>
      <c r="M100" s="3">
        <v>24040.47</v>
      </c>
    </row>
    <row r="101" spans="1:13" x14ac:dyDescent="0.3">
      <c r="A101" t="s">
        <v>1822</v>
      </c>
      <c r="B101" s="4">
        <v>45442</v>
      </c>
      <c r="C101" t="s">
        <v>1821</v>
      </c>
      <c r="D101" t="s">
        <v>42</v>
      </c>
      <c r="E101" t="s">
        <v>8</v>
      </c>
      <c r="F101" t="s">
        <v>13</v>
      </c>
      <c r="G101" t="s">
        <v>12</v>
      </c>
      <c r="H101">
        <v>11</v>
      </c>
      <c r="I101" s="3">
        <v>38513</v>
      </c>
      <c r="J101" s="2">
        <v>0.15</v>
      </c>
      <c r="K101" s="3">
        <v>360096.55</v>
      </c>
      <c r="L101" s="3">
        <v>186221.02</v>
      </c>
      <c r="M101" s="3">
        <v>173875.53</v>
      </c>
    </row>
    <row r="102" spans="1:13" x14ac:dyDescent="0.3">
      <c r="A102" t="s">
        <v>1820</v>
      </c>
      <c r="B102" s="4">
        <v>45642</v>
      </c>
      <c r="C102" t="s">
        <v>1819</v>
      </c>
      <c r="D102" t="s">
        <v>17</v>
      </c>
      <c r="E102" t="s">
        <v>2</v>
      </c>
      <c r="F102" t="s">
        <v>7</v>
      </c>
      <c r="G102" t="s">
        <v>16</v>
      </c>
      <c r="H102">
        <v>7</v>
      </c>
      <c r="I102" s="3">
        <v>46044</v>
      </c>
      <c r="J102" s="2">
        <v>0.1</v>
      </c>
      <c r="K102" s="3">
        <v>290077.2</v>
      </c>
      <c r="L102" s="3">
        <v>175270.49</v>
      </c>
      <c r="M102" s="3">
        <v>114806.71</v>
      </c>
    </row>
    <row r="103" spans="1:13" x14ac:dyDescent="0.3">
      <c r="A103" t="s">
        <v>1818</v>
      </c>
      <c r="B103" s="4">
        <v>46162</v>
      </c>
      <c r="C103" t="s">
        <v>1817</v>
      </c>
      <c r="D103" t="s">
        <v>42</v>
      </c>
      <c r="E103" t="s">
        <v>8</v>
      </c>
      <c r="F103" t="s">
        <v>23</v>
      </c>
      <c r="G103" t="s">
        <v>12</v>
      </c>
      <c r="H103">
        <v>5</v>
      </c>
      <c r="I103" s="3">
        <v>64331</v>
      </c>
      <c r="J103" s="2">
        <v>0.2</v>
      </c>
      <c r="K103" s="3">
        <v>257324</v>
      </c>
      <c r="L103" s="3">
        <v>188903.25</v>
      </c>
      <c r="M103" s="3">
        <v>68420.75</v>
      </c>
    </row>
    <row r="104" spans="1:13" x14ac:dyDescent="0.3">
      <c r="A104" t="s">
        <v>1816</v>
      </c>
      <c r="B104" s="4">
        <v>45590</v>
      </c>
      <c r="C104" t="s">
        <v>1815</v>
      </c>
      <c r="D104" t="s">
        <v>42</v>
      </c>
      <c r="E104" t="s">
        <v>8</v>
      </c>
      <c r="F104" t="s">
        <v>33</v>
      </c>
      <c r="G104" t="s">
        <v>20</v>
      </c>
      <c r="H104">
        <v>2</v>
      </c>
      <c r="I104" s="3">
        <v>28246</v>
      </c>
      <c r="J104" s="2">
        <v>0.2</v>
      </c>
      <c r="K104" s="3">
        <v>45193.599999999999</v>
      </c>
      <c r="L104" s="3">
        <v>36927.06</v>
      </c>
      <c r="M104" s="3">
        <v>8266.5400000000009</v>
      </c>
    </row>
    <row r="105" spans="1:13" x14ac:dyDescent="0.3">
      <c r="A105" t="s">
        <v>1814</v>
      </c>
      <c r="B105" s="4">
        <v>45593</v>
      </c>
      <c r="C105" t="s">
        <v>1813</v>
      </c>
      <c r="D105" t="s">
        <v>17</v>
      </c>
      <c r="E105" t="s">
        <v>2</v>
      </c>
      <c r="F105" t="s">
        <v>13</v>
      </c>
      <c r="G105" t="s">
        <v>12</v>
      </c>
      <c r="H105">
        <v>15</v>
      </c>
      <c r="I105" s="3">
        <v>44625</v>
      </c>
      <c r="J105" s="2">
        <v>0.15</v>
      </c>
      <c r="K105" s="3">
        <v>568968.75</v>
      </c>
      <c r="L105" s="3">
        <v>369601</v>
      </c>
      <c r="M105" s="3">
        <v>199367.75</v>
      </c>
    </row>
    <row r="106" spans="1:13" x14ac:dyDescent="0.3">
      <c r="A106" t="s">
        <v>1812</v>
      </c>
      <c r="B106" s="4">
        <v>45703</v>
      </c>
      <c r="C106" t="s">
        <v>1811</v>
      </c>
      <c r="D106" t="s">
        <v>3</v>
      </c>
      <c r="E106" t="s">
        <v>2</v>
      </c>
      <c r="F106" t="s">
        <v>1</v>
      </c>
      <c r="G106" t="s">
        <v>0</v>
      </c>
      <c r="H106">
        <v>3</v>
      </c>
      <c r="I106" s="3">
        <v>45820</v>
      </c>
      <c r="J106" s="2">
        <v>0.2</v>
      </c>
      <c r="K106" s="3">
        <v>109968</v>
      </c>
      <c r="L106" s="3">
        <v>58490.11</v>
      </c>
      <c r="M106" s="3">
        <v>51477.89</v>
      </c>
    </row>
    <row r="107" spans="1:13" x14ac:dyDescent="0.3">
      <c r="A107" t="s">
        <v>1810</v>
      </c>
      <c r="B107" s="4">
        <v>45448</v>
      </c>
      <c r="C107" t="s">
        <v>1809</v>
      </c>
      <c r="D107" t="s">
        <v>34</v>
      </c>
      <c r="E107" t="s">
        <v>24</v>
      </c>
      <c r="F107" t="s">
        <v>13</v>
      </c>
      <c r="G107" t="s">
        <v>12</v>
      </c>
      <c r="H107">
        <v>4</v>
      </c>
      <c r="I107" s="3">
        <v>3632</v>
      </c>
      <c r="J107" s="2">
        <v>0.15</v>
      </c>
      <c r="K107" s="3">
        <v>12348.8</v>
      </c>
      <c r="L107" s="3">
        <v>7829.06</v>
      </c>
      <c r="M107" s="3">
        <v>4519.74</v>
      </c>
    </row>
    <row r="108" spans="1:13" x14ac:dyDescent="0.3">
      <c r="A108" t="s">
        <v>1808</v>
      </c>
      <c r="B108" s="4">
        <v>45802</v>
      </c>
      <c r="C108" t="s">
        <v>1807</v>
      </c>
      <c r="D108" t="s">
        <v>56</v>
      </c>
      <c r="E108" t="s">
        <v>24</v>
      </c>
      <c r="F108" t="s">
        <v>7</v>
      </c>
      <c r="G108" t="s">
        <v>12</v>
      </c>
      <c r="H108">
        <v>6</v>
      </c>
      <c r="I108" s="3">
        <v>9134</v>
      </c>
      <c r="J108" s="2">
        <v>0.15</v>
      </c>
      <c r="K108" s="3">
        <v>46583.4</v>
      </c>
      <c r="L108" s="3">
        <v>27816.38</v>
      </c>
      <c r="M108" s="3">
        <v>18767.02</v>
      </c>
    </row>
    <row r="109" spans="1:13" x14ac:dyDescent="0.3">
      <c r="A109" t="s">
        <v>1806</v>
      </c>
      <c r="B109" s="4">
        <v>45938</v>
      </c>
      <c r="C109" t="s">
        <v>1805</v>
      </c>
      <c r="D109" t="s">
        <v>9</v>
      </c>
      <c r="E109" t="s">
        <v>8</v>
      </c>
      <c r="F109" t="s">
        <v>1</v>
      </c>
      <c r="G109" t="s">
        <v>16</v>
      </c>
      <c r="H109">
        <v>9</v>
      </c>
      <c r="I109" s="3">
        <v>29306</v>
      </c>
      <c r="J109" s="2">
        <v>0</v>
      </c>
      <c r="K109" s="3">
        <v>263754</v>
      </c>
      <c r="L109" s="3">
        <v>156895.99</v>
      </c>
      <c r="M109" s="3">
        <v>106858.01</v>
      </c>
    </row>
    <row r="110" spans="1:13" x14ac:dyDescent="0.3">
      <c r="A110" t="s">
        <v>1804</v>
      </c>
      <c r="B110" s="4">
        <v>45739</v>
      </c>
      <c r="C110" t="s">
        <v>1803</v>
      </c>
      <c r="D110" t="s">
        <v>34</v>
      </c>
      <c r="E110" t="s">
        <v>24</v>
      </c>
      <c r="F110" t="s">
        <v>23</v>
      </c>
      <c r="G110" t="s">
        <v>12</v>
      </c>
      <c r="H110">
        <v>8</v>
      </c>
      <c r="I110" s="3">
        <v>57601</v>
      </c>
      <c r="J110" s="2">
        <v>0.1</v>
      </c>
      <c r="K110" s="3">
        <v>414727.2</v>
      </c>
      <c r="L110" s="3">
        <v>330553.87</v>
      </c>
      <c r="M110" s="3">
        <v>84173.33</v>
      </c>
    </row>
    <row r="111" spans="1:13" x14ac:dyDescent="0.3">
      <c r="A111" t="s">
        <v>1802</v>
      </c>
      <c r="B111" s="4">
        <v>45612</v>
      </c>
      <c r="C111" t="s">
        <v>1801</v>
      </c>
      <c r="D111" t="s">
        <v>17</v>
      </c>
      <c r="E111" t="s">
        <v>2</v>
      </c>
      <c r="F111" t="s">
        <v>23</v>
      </c>
      <c r="G111" t="s">
        <v>16</v>
      </c>
      <c r="H111">
        <v>12</v>
      </c>
      <c r="I111" s="3">
        <v>63032</v>
      </c>
      <c r="J111" s="2">
        <v>0.2</v>
      </c>
      <c r="K111" s="3">
        <v>605107.19999999995</v>
      </c>
      <c r="L111" s="3">
        <v>406292.29</v>
      </c>
      <c r="M111" s="3">
        <v>198814.91</v>
      </c>
    </row>
    <row r="112" spans="1:13" x14ac:dyDescent="0.3">
      <c r="A112" t="s">
        <v>1800</v>
      </c>
      <c r="B112" s="4">
        <v>45927</v>
      </c>
      <c r="C112" t="s">
        <v>1799</v>
      </c>
      <c r="D112" t="s">
        <v>28</v>
      </c>
      <c r="E112" t="s">
        <v>8</v>
      </c>
      <c r="F112" t="s">
        <v>1</v>
      </c>
      <c r="G112" t="s">
        <v>20</v>
      </c>
      <c r="H112">
        <v>8</v>
      </c>
      <c r="I112" s="3">
        <v>33566</v>
      </c>
      <c r="J112" s="2">
        <v>0</v>
      </c>
      <c r="K112" s="3">
        <v>268528</v>
      </c>
      <c r="L112" s="3">
        <v>155297.84</v>
      </c>
      <c r="M112" s="3">
        <v>113230.16</v>
      </c>
    </row>
    <row r="113" spans="1:13" x14ac:dyDescent="0.3">
      <c r="A113" t="s">
        <v>1798</v>
      </c>
      <c r="B113" s="4">
        <v>46084</v>
      </c>
      <c r="C113" t="s">
        <v>1797</v>
      </c>
      <c r="D113" t="s">
        <v>42</v>
      </c>
      <c r="E113" t="s">
        <v>8</v>
      </c>
      <c r="F113" t="s">
        <v>23</v>
      </c>
      <c r="G113" t="s">
        <v>37</v>
      </c>
      <c r="H113">
        <v>14</v>
      </c>
      <c r="I113" s="3">
        <v>60942</v>
      </c>
      <c r="J113" s="2">
        <v>0</v>
      </c>
      <c r="K113" s="3">
        <v>853188</v>
      </c>
      <c r="L113" s="3">
        <v>591280.89</v>
      </c>
      <c r="M113" s="3">
        <v>261907.11</v>
      </c>
    </row>
    <row r="114" spans="1:13" x14ac:dyDescent="0.3">
      <c r="A114" t="s">
        <v>1796</v>
      </c>
      <c r="B114" s="4">
        <v>45632</v>
      </c>
      <c r="C114" t="s">
        <v>1795</v>
      </c>
      <c r="D114" t="s">
        <v>3</v>
      </c>
      <c r="E114" t="s">
        <v>2</v>
      </c>
      <c r="F114" t="s">
        <v>7</v>
      </c>
      <c r="G114" t="s">
        <v>20</v>
      </c>
      <c r="H114">
        <v>10</v>
      </c>
      <c r="I114" s="3">
        <v>5927</v>
      </c>
      <c r="J114" s="2">
        <v>0.1</v>
      </c>
      <c r="K114" s="3">
        <v>53343</v>
      </c>
      <c r="L114" s="3">
        <v>44640.21</v>
      </c>
      <c r="M114" s="3">
        <v>8702.7900000000009</v>
      </c>
    </row>
    <row r="115" spans="1:13" x14ac:dyDescent="0.3">
      <c r="A115" t="s">
        <v>1794</v>
      </c>
      <c r="B115" s="4">
        <v>45729</v>
      </c>
      <c r="C115" t="s">
        <v>1793</v>
      </c>
      <c r="D115" t="s">
        <v>28</v>
      </c>
      <c r="E115" t="s">
        <v>8</v>
      </c>
      <c r="F115" t="s">
        <v>13</v>
      </c>
      <c r="G115" t="s">
        <v>20</v>
      </c>
      <c r="H115">
        <v>12</v>
      </c>
      <c r="I115" s="3">
        <v>15697</v>
      </c>
      <c r="J115" s="2">
        <v>0</v>
      </c>
      <c r="K115" s="3">
        <v>188364</v>
      </c>
      <c r="L115" s="3">
        <v>98820.12</v>
      </c>
      <c r="M115" s="3">
        <v>89543.88</v>
      </c>
    </row>
    <row r="116" spans="1:13" x14ac:dyDescent="0.3">
      <c r="A116" t="s">
        <v>1792</v>
      </c>
      <c r="B116" s="4">
        <v>45622</v>
      </c>
      <c r="C116" t="s">
        <v>1791</v>
      </c>
      <c r="D116" t="s">
        <v>17</v>
      </c>
      <c r="E116" t="s">
        <v>2</v>
      </c>
      <c r="F116" t="s">
        <v>13</v>
      </c>
      <c r="G116" t="s">
        <v>0</v>
      </c>
      <c r="H116">
        <v>5</v>
      </c>
      <c r="I116" s="3">
        <v>30305</v>
      </c>
      <c r="J116" s="2">
        <v>0.2</v>
      </c>
      <c r="K116" s="3">
        <v>121220</v>
      </c>
      <c r="L116" s="3">
        <v>60658.879999999997</v>
      </c>
      <c r="M116" s="3">
        <v>60561.120000000003</v>
      </c>
    </row>
    <row r="117" spans="1:13" x14ac:dyDescent="0.3">
      <c r="A117" t="s">
        <v>1790</v>
      </c>
      <c r="B117" s="4">
        <v>45642</v>
      </c>
      <c r="C117" t="s">
        <v>1789</v>
      </c>
      <c r="D117" t="s">
        <v>56</v>
      </c>
      <c r="E117" t="s">
        <v>24</v>
      </c>
      <c r="F117" t="s">
        <v>13</v>
      </c>
      <c r="G117" t="s">
        <v>12</v>
      </c>
      <c r="H117">
        <v>6</v>
      </c>
      <c r="I117" s="3">
        <v>32766</v>
      </c>
      <c r="J117" s="2">
        <v>0.15</v>
      </c>
      <c r="K117" s="3">
        <v>167106.6</v>
      </c>
      <c r="L117" s="3">
        <v>114333.87</v>
      </c>
      <c r="M117" s="3">
        <v>52772.73</v>
      </c>
    </row>
    <row r="118" spans="1:13" x14ac:dyDescent="0.3">
      <c r="A118" t="s">
        <v>1788</v>
      </c>
      <c r="B118" s="4">
        <v>45858</v>
      </c>
      <c r="C118" t="s">
        <v>1787</v>
      </c>
      <c r="D118" t="s">
        <v>17</v>
      </c>
      <c r="E118" t="s">
        <v>2</v>
      </c>
      <c r="F118" t="s">
        <v>33</v>
      </c>
      <c r="G118" t="s">
        <v>6</v>
      </c>
      <c r="H118">
        <v>12</v>
      </c>
      <c r="I118" s="3">
        <v>41291</v>
      </c>
      <c r="J118" s="2">
        <v>0</v>
      </c>
      <c r="K118" s="3">
        <v>495492</v>
      </c>
      <c r="L118" s="3">
        <v>251524.42</v>
      </c>
      <c r="M118" s="3">
        <v>243967.58</v>
      </c>
    </row>
    <row r="119" spans="1:13" x14ac:dyDescent="0.3">
      <c r="A119" t="s">
        <v>1786</v>
      </c>
      <c r="B119" s="4">
        <v>45603</v>
      </c>
      <c r="C119" t="s">
        <v>1785</v>
      </c>
      <c r="D119" t="s">
        <v>28</v>
      </c>
      <c r="E119" t="s">
        <v>8</v>
      </c>
      <c r="F119" t="s">
        <v>7</v>
      </c>
      <c r="G119" t="s">
        <v>12</v>
      </c>
      <c r="H119">
        <v>2</v>
      </c>
      <c r="I119" s="3">
        <v>34719</v>
      </c>
      <c r="J119" s="2">
        <v>0.05</v>
      </c>
      <c r="K119" s="3">
        <v>65966.100000000006</v>
      </c>
      <c r="L119" s="3">
        <v>48391.03</v>
      </c>
      <c r="M119" s="3">
        <v>17575.07</v>
      </c>
    </row>
    <row r="120" spans="1:13" x14ac:dyDescent="0.3">
      <c r="A120" t="s">
        <v>1784</v>
      </c>
      <c r="B120" s="4">
        <v>45802</v>
      </c>
      <c r="C120" t="s">
        <v>1783</v>
      </c>
      <c r="D120" t="s">
        <v>25</v>
      </c>
      <c r="E120" t="s">
        <v>24</v>
      </c>
      <c r="F120" t="s">
        <v>33</v>
      </c>
      <c r="G120" t="s">
        <v>12</v>
      </c>
      <c r="H120">
        <v>12</v>
      </c>
      <c r="I120" s="3">
        <v>45309</v>
      </c>
      <c r="J120" s="2">
        <v>0.15</v>
      </c>
      <c r="K120" s="3">
        <v>462151.8</v>
      </c>
      <c r="L120" s="3">
        <v>289682.28000000003</v>
      </c>
      <c r="M120" s="3">
        <v>172469.52</v>
      </c>
    </row>
    <row r="121" spans="1:13" x14ac:dyDescent="0.3">
      <c r="A121" t="s">
        <v>1782</v>
      </c>
      <c r="B121" s="4">
        <v>46036</v>
      </c>
      <c r="C121" t="s">
        <v>1781</v>
      </c>
      <c r="D121" t="s">
        <v>17</v>
      </c>
      <c r="E121" t="s">
        <v>2</v>
      </c>
      <c r="F121" t="s">
        <v>1</v>
      </c>
      <c r="G121" t="s">
        <v>0</v>
      </c>
      <c r="H121">
        <v>12</v>
      </c>
      <c r="I121" s="3">
        <v>67175</v>
      </c>
      <c r="J121" s="2">
        <v>0</v>
      </c>
      <c r="K121" s="3">
        <v>806100</v>
      </c>
      <c r="L121" s="3">
        <v>460949.35</v>
      </c>
      <c r="M121" s="3">
        <v>345150.65</v>
      </c>
    </row>
    <row r="122" spans="1:13" x14ac:dyDescent="0.3">
      <c r="A122" t="s">
        <v>1780</v>
      </c>
      <c r="B122" s="4">
        <v>45744</v>
      </c>
      <c r="C122" t="s">
        <v>1779</v>
      </c>
      <c r="D122" t="s">
        <v>3</v>
      </c>
      <c r="E122" t="s">
        <v>2</v>
      </c>
      <c r="F122" t="s">
        <v>7</v>
      </c>
      <c r="G122" t="s">
        <v>37</v>
      </c>
      <c r="H122">
        <v>8</v>
      </c>
      <c r="I122" s="3">
        <v>30024</v>
      </c>
      <c r="J122" s="2">
        <v>0.1</v>
      </c>
      <c r="K122" s="3">
        <v>216172.79999999999</v>
      </c>
      <c r="L122" s="3">
        <v>165623.98000000001</v>
      </c>
      <c r="M122" s="3">
        <v>50548.82</v>
      </c>
    </row>
    <row r="123" spans="1:13" x14ac:dyDescent="0.3">
      <c r="A123" t="s">
        <v>1778</v>
      </c>
      <c r="B123" s="4">
        <v>45923</v>
      </c>
      <c r="C123" t="s">
        <v>1777</v>
      </c>
      <c r="D123" t="s">
        <v>28</v>
      </c>
      <c r="E123" t="s">
        <v>8</v>
      </c>
      <c r="F123" t="s">
        <v>23</v>
      </c>
      <c r="G123" t="s">
        <v>20</v>
      </c>
      <c r="H123">
        <v>10</v>
      </c>
      <c r="I123" s="3">
        <v>25551</v>
      </c>
      <c r="J123" s="2">
        <v>0.05</v>
      </c>
      <c r="K123" s="3">
        <v>242734.5</v>
      </c>
      <c r="L123" s="3">
        <v>162575.91</v>
      </c>
      <c r="M123" s="3">
        <v>80158.59</v>
      </c>
    </row>
    <row r="124" spans="1:13" x14ac:dyDescent="0.3">
      <c r="A124" t="s">
        <v>1776</v>
      </c>
      <c r="B124" s="4">
        <v>46016</v>
      </c>
      <c r="C124" t="s">
        <v>1775</v>
      </c>
      <c r="D124" t="s">
        <v>17</v>
      </c>
      <c r="E124" t="s">
        <v>2</v>
      </c>
      <c r="F124" t="s">
        <v>1</v>
      </c>
      <c r="G124" t="s">
        <v>16</v>
      </c>
      <c r="H124">
        <v>1</v>
      </c>
      <c r="I124" s="3">
        <v>28911</v>
      </c>
      <c r="J124" s="2">
        <v>0</v>
      </c>
      <c r="K124" s="3">
        <v>28911</v>
      </c>
      <c r="L124" s="3">
        <v>24312.47</v>
      </c>
      <c r="M124" s="3">
        <v>4598.53</v>
      </c>
    </row>
    <row r="125" spans="1:13" x14ac:dyDescent="0.3">
      <c r="A125" t="s">
        <v>1774</v>
      </c>
      <c r="B125" s="4">
        <v>45897</v>
      </c>
      <c r="C125" t="s">
        <v>1773</v>
      </c>
      <c r="D125" t="s">
        <v>53</v>
      </c>
      <c r="E125" t="s">
        <v>2</v>
      </c>
      <c r="F125" t="s">
        <v>7</v>
      </c>
      <c r="G125" t="s">
        <v>6</v>
      </c>
      <c r="H125">
        <v>1</v>
      </c>
      <c r="I125" s="3">
        <v>25130</v>
      </c>
      <c r="J125" s="2">
        <v>0.15</v>
      </c>
      <c r="K125" s="3">
        <v>21360.5</v>
      </c>
      <c r="L125" s="3">
        <v>14041.85</v>
      </c>
      <c r="M125" s="3">
        <v>7318.65</v>
      </c>
    </row>
    <row r="126" spans="1:13" x14ac:dyDescent="0.3">
      <c r="A126" t="s">
        <v>1772</v>
      </c>
      <c r="B126" s="4">
        <v>45550</v>
      </c>
      <c r="C126" t="s">
        <v>1771</v>
      </c>
      <c r="D126" t="s">
        <v>3</v>
      </c>
      <c r="E126" t="s">
        <v>2</v>
      </c>
      <c r="F126" t="s">
        <v>13</v>
      </c>
      <c r="G126" t="s">
        <v>6</v>
      </c>
      <c r="H126">
        <v>15</v>
      </c>
      <c r="I126" s="3">
        <v>22709</v>
      </c>
      <c r="J126" s="2">
        <v>0.1</v>
      </c>
      <c r="K126" s="3">
        <v>306571.5</v>
      </c>
      <c r="L126" s="3">
        <v>173746.1</v>
      </c>
      <c r="M126" s="3">
        <v>132825.4</v>
      </c>
    </row>
    <row r="127" spans="1:13" x14ac:dyDescent="0.3">
      <c r="A127" t="s">
        <v>1770</v>
      </c>
      <c r="B127" s="4">
        <v>46074</v>
      </c>
      <c r="C127" t="s">
        <v>1769</v>
      </c>
      <c r="D127" t="s">
        <v>25</v>
      </c>
      <c r="E127" t="s">
        <v>24</v>
      </c>
      <c r="F127" t="s">
        <v>33</v>
      </c>
      <c r="G127" t="s">
        <v>12</v>
      </c>
      <c r="H127">
        <v>5</v>
      </c>
      <c r="I127" s="3">
        <v>50626</v>
      </c>
      <c r="J127" s="2">
        <v>0.1</v>
      </c>
      <c r="K127" s="3">
        <v>227817</v>
      </c>
      <c r="L127" s="3">
        <v>192447.05</v>
      </c>
      <c r="M127" s="3">
        <v>35369.949999999997</v>
      </c>
    </row>
    <row r="128" spans="1:13" x14ac:dyDescent="0.3">
      <c r="A128" t="s">
        <v>1768</v>
      </c>
      <c r="B128" s="4">
        <v>46003</v>
      </c>
      <c r="C128" t="s">
        <v>1767</v>
      </c>
      <c r="D128" t="s">
        <v>3</v>
      </c>
      <c r="E128" t="s">
        <v>2</v>
      </c>
      <c r="F128" t="s">
        <v>23</v>
      </c>
      <c r="G128" t="s">
        <v>20</v>
      </c>
      <c r="H128">
        <v>2</v>
      </c>
      <c r="I128" s="3">
        <v>37674</v>
      </c>
      <c r="J128" s="2">
        <v>0</v>
      </c>
      <c r="K128" s="3">
        <v>75348</v>
      </c>
      <c r="L128" s="3">
        <v>46942.81</v>
      </c>
      <c r="M128" s="3">
        <v>28405.19</v>
      </c>
    </row>
    <row r="129" spans="1:13" x14ac:dyDescent="0.3">
      <c r="A129" t="s">
        <v>1766</v>
      </c>
      <c r="B129" s="4">
        <v>46018</v>
      </c>
      <c r="C129" t="s">
        <v>1765</v>
      </c>
      <c r="D129" t="s">
        <v>17</v>
      </c>
      <c r="E129" t="s">
        <v>2</v>
      </c>
      <c r="F129" t="s">
        <v>33</v>
      </c>
      <c r="G129" t="s">
        <v>12</v>
      </c>
      <c r="H129">
        <v>6</v>
      </c>
      <c r="I129" s="3">
        <v>41461</v>
      </c>
      <c r="J129" s="2">
        <v>0.15</v>
      </c>
      <c r="K129" s="3">
        <v>211451.1</v>
      </c>
      <c r="L129" s="3">
        <v>112220.5</v>
      </c>
      <c r="M129" s="3">
        <v>99230.6</v>
      </c>
    </row>
    <row r="130" spans="1:13" x14ac:dyDescent="0.3">
      <c r="A130" t="s">
        <v>1764</v>
      </c>
      <c r="B130" s="4">
        <v>46075</v>
      </c>
      <c r="C130" t="s">
        <v>1763</v>
      </c>
      <c r="D130" t="s">
        <v>34</v>
      </c>
      <c r="E130" t="s">
        <v>24</v>
      </c>
      <c r="F130" t="s">
        <v>33</v>
      </c>
      <c r="G130" t="s">
        <v>37</v>
      </c>
      <c r="H130">
        <v>15</v>
      </c>
      <c r="I130" s="3">
        <v>59503</v>
      </c>
      <c r="J130" s="2">
        <v>0.05</v>
      </c>
      <c r="K130" s="3">
        <v>847917.75</v>
      </c>
      <c r="L130" s="3">
        <v>519907.73</v>
      </c>
      <c r="M130" s="3">
        <v>328010.02</v>
      </c>
    </row>
    <row r="131" spans="1:13" x14ac:dyDescent="0.3">
      <c r="A131" t="s">
        <v>1762</v>
      </c>
      <c r="B131" s="4">
        <v>45972</v>
      </c>
      <c r="C131" t="s">
        <v>1761</v>
      </c>
      <c r="D131" t="s">
        <v>28</v>
      </c>
      <c r="E131" t="s">
        <v>8</v>
      </c>
      <c r="F131" t="s">
        <v>33</v>
      </c>
      <c r="G131" t="s">
        <v>37</v>
      </c>
      <c r="H131">
        <v>4</v>
      </c>
      <c r="I131" s="3">
        <v>54054</v>
      </c>
      <c r="J131" s="2">
        <v>0</v>
      </c>
      <c r="K131" s="3">
        <v>216216</v>
      </c>
      <c r="L131" s="3">
        <v>136529.31</v>
      </c>
      <c r="M131" s="3">
        <v>79686.69</v>
      </c>
    </row>
    <row r="132" spans="1:13" x14ac:dyDescent="0.3">
      <c r="A132" t="s">
        <v>1760</v>
      </c>
      <c r="B132" s="4">
        <v>45928</v>
      </c>
      <c r="C132" t="s">
        <v>1759</v>
      </c>
      <c r="D132" t="s">
        <v>17</v>
      </c>
      <c r="E132" t="s">
        <v>2</v>
      </c>
      <c r="F132" t="s">
        <v>7</v>
      </c>
      <c r="G132" t="s">
        <v>0</v>
      </c>
      <c r="H132">
        <v>4</v>
      </c>
      <c r="I132" s="3">
        <v>9238</v>
      </c>
      <c r="J132" s="2">
        <v>0.2</v>
      </c>
      <c r="K132" s="3">
        <v>29561.599999999999</v>
      </c>
      <c r="L132" s="3">
        <v>18289</v>
      </c>
      <c r="M132" s="3">
        <v>11272.6</v>
      </c>
    </row>
    <row r="133" spans="1:13" x14ac:dyDescent="0.3">
      <c r="A133" t="s">
        <v>1758</v>
      </c>
      <c r="B133" s="4">
        <v>45867</v>
      </c>
      <c r="C133" t="s">
        <v>1757</v>
      </c>
      <c r="D133" t="s">
        <v>42</v>
      </c>
      <c r="E133" t="s">
        <v>8</v>
      </c>
      <c r="F133" t="s">
        <v>13</v>
      </c>
      <c r="G133" t="s">
        <v>6</v>
      </c>
      <c r="H133">
        <v>5</v>
      </c>
      <c r="I133" s="3">
        <v>42482</v>
      </c>
      <c r="J133" s="2">
        <v>0.1</v>
      </c>
      <c r="K133" s="3">
        <v>191169</v>
      </c>
      <c r="L133" s="3">
        <v>115483.67</v>
      </c>
      <c r="M133" s="3">
        <v>75685.33</v>
      </c>
    </row>
    <row r="134" spans="1:13" x14ac:dyDescent="0.3">
      <c r="A134" t="s">
        <v>1756</v>
      </c>
      <c r="B134" s="4">
        <v>45623</v>
      </c>
      <c r="C134" t="s">
        <v>1755</v>
      </c>
      <c r="D134" t="s">
        <v>3</v>
      </c>
      <c r="E134" t="s">
        <v>2</v>
      </c>
      <c r="F134" t="s">
        <v>33</v>
      </c>
      <c r="G134" t="s">
        <v>16</v>
      </c>
      <c r="H134">
        <v>14</v>
      </c>
      <c r="I134" s="3">
        <v>31653</v>
      </c>
      <c r="J134" s="2">
        <v>0</v>
      </c>
      <c r="K134" s="3">
        <v>443142</v>
      </c>
      <c r="L134" s="3">
        <v>295272.68</v>
      </c>
      <c r="M134" s="3">
        <v>147869.32</v>
      </c>
    </row>
    <row r="135" spans="1:13" x14ac:dyDescent="0.3">
      <c r="A135" t="s">
        <v>1754</v>
      </c>
      <c r="B135" s="4">
        <v>45824</v>
      </c>
      <c r="C135" t="s">
        <v>1753</v>
      </c>
      <c r="D135" t="s">
        <v>56</v>
      </c>
      <c r="E135" t="s">
        <v>24</v>
      </c>
      <c r="F135" t="s">
        <v>1</v>
      </c>
      <c r="G135" t="s">
        <v>37</v>
      </c>
      <c r="H135">
        <v>14</v>
      </c>
      <c r="I135" s="3">
        <v>65680</v>
      </c>
      <c r="J135" s="2">
        <v>0.05</v>
      </c>
      <c r="K135" s="3">
        <v>873544</v>
      </c>
      <c r="L135" s="3">
        <v>720529.49</v>
      </c>
      <c r="M135" s="3">
        <v>153014.51</v>
      </c>
    </row>
    <row r="136" spans="1:13" x14ac:dyDescent="0.3">
      <c r="A136" t="s">
        <v>1752</v>
      </c>
      <c r="B136" s="4">
        <v>46013</v>
      </c>
      <c r="C136" t="s">
        <v>1751</v>
      </c>
      <c r="D136" t="s">
        <v>28</v>
      </c>
      <c r="E136" t="s">
        <v>8</v>
      </c>
      <c r="F136" t="s">
        <v>7</v>
      </c>
      <c r="G136" t="s">
        <v>16</v>
      </c>
      <c r="H136">
        <v>14</v>
      </c>
      <c r="I136" s="3">
        <v>20833</v>
      </c>
      <c r="J136" s="2">
        <v>0.2</v>
      </c>
      <c r="K136" s="3">
        <v>233329.6</v>
      </c>
      <c r="L136" s="3">
        <v>135949.46</v>
      </c>
      <c r="M136" s="3">
        <v>97380.14</v>
      </c>
    </row>
    <row r="137" spans="1:13" x14ac:dyDescent="0.3">
      <c r="A137" t="s">
        <v>1750</v>
      </c>
      <c r="B137" s="4">
        <v>45640</v>
      </c>
      <c r="C137" t="s">
        <v>1749</v>
      </c>
      <c r="D137" t="s">
        <v>34</v>
      </c>
      <c r="E137" t="s">
        <v>24</v>
      </c>
      <c r="F137" t="s">
        <v>1</v>
      </c>
      <c r="G137" t="s">
        <v>12</v>
      </c>
      <c r="H137">
        <v>2</v>
      </c>
      <c r="I137" s="3">
        <v>68093</v>
      </c>
      <c r="J137" s="2">
        <v>0.05</v>
      </c>
      <c r="K137" s="3">
        <v>129376.7</v>
      </c>
      <c r="L137" s="3">
        <v>82424.59</v>
      </c>
      <c r="M137" s="3">
        <v>46952.11</v>
      </c>
    </row>
    <row r="138" spans="1:13" x14ac:dyDescent="0.3">
      <c r="A138" t="s">
        <v>1748</v>
      </c>
      <c r="B138" s="4">
        <v>45938</v>
      </c>
      <c r="C138" t="s">
        <v>1747</v>
      </c>
      <c r="D138" t="s">
        <v>25</v>
      </c>
      <c r="E138" t="s">
        <v>24</v>
      </c>
      <c r="F138" t="s">
        <v>7</v>
      </c>
      <c r="G138" t="s">
        <v>12</v>
      </c>
      <c r="H138">
        <v>11</v>
      </c>
      <c r="I138" s="3">
        <v>5438</v>
      </c>
      <c r="J138" s="2">
        <v>0.15</v>
      </c>
      <c r="K138" s="3">
        <v>50845.3</v>
      </c>
      <c r="L138" s="3">
        <v>35256.54</v>
      </c>
      <c r="M138" s="3">
        <v>15588.76</v>
      </c>
    </row>
    <row r="139" spans="1:13" x14ac:dyDescent="0.3">
      <c r="A139" t="s">
        <v>1746</v>
      </c>
      <c r="B139" s="4">
        <v>45806</v>
      </c>
      <c r="C139" t="s">
        <v>1745</v>
      </c>
      <c r="D139" t="s">
        <v>25</v>
      </c>
      <c r="E139" t="s">
        <v>24</v>
      </c>
      <c r="F139" t="s">
        <v>23</v>
      </c>
      <c r="G139" t="s">
        <v>16</v>
      </c>
      <c r="H139">
        <v>2</v>
      </c>
      <c r="I139" s="3">
        <v>35719</v>
      </c>
      <c r="J139" s="2">
        <v>0.2</v>
      </c>
      <c r="K139" s="3">
        <v>57150.400000000001</v>
      </c>
      <c r="L139" s="3">
        <v>30257.07</v>
      </c>
      <c r="M139" s="3">
        <v>26893.33</v>
      </c>
    </row>
    <row r="140" spans="1:13" x14ac:dyDescent="0.3">
      <c r="A140" t="s">
        <v>1744</v>
      </c>
      <c r="B140" s="4">
        <v>45925</v>
      </c>
      <c r="C140" t="s">
        <v>1743</v>
      </c>
      <c r="D140" t="s">
        <v>34</v>
      </c>
      <c r="E140" t="s">
        <v>24</v>
      </c>
      <c r="F140" t="s">
        <v>33</v>
      </c>
      <c r="G140" t="s">
        <v>20</v>
      </c>
      <c r="H140">
        <v>8</v>
      </c>
      <c r="I140" s="3">
        <v>23700</v>
      </c>
      <c r="J140" s="2">
        <v>0.05</v>
      </c>
      <c r="K140" s="3">
        <v>180120</v>
      </c>
      <c r="L140" s="3">
        <v>98440.25</v>
      </c>
      <c r="M140" s="3">
        <v>81679.75</v>
      </c>
    </row>
    <row r="141" spans="1:13" x14ac:dyDescent="0.3">
      <c r="A141" t="s">
        <v>1742</v>
      </c>
      <c r="B141" s="4">
        <v>45631</v>
      </c>
      <c r="C141" t="s">
        <v>1741</v>
      </c>
      <c r="D141" t="s">
        <v>42</v>
      </c>
      <c r="E141" t="s">
        <v>8</v>
      </c>
      <c r="F141" t="s">
        <v>7</v>
      </c>
      <c r="G141" t="s">
        <v>0</v>
      </c>
      <c r="H141">
        <v>12</v>
      </c>
      <c r="I141" s="3">
        <v>71590</v>
      </c>
      <c r="J141" s="2">
        <v>0</v>
      </c>
      <c r="K141" s="3">
        <v>859080</v>
      </c>
      <c r="L141" s="3">
        <v>663993.85</v>
      </c>
      <c r="M141" s="3">
        <v>195086.15</v>
      </c>
    </row>
    <row r="142" spans="1:13" x14ac:dyDescent="0.3">
      <c r="A142" t="s">
        <v>1740</v>
      </c>
      <c r="B142" s="4">
        <v>45537</v>
      </c>
      <c r="C142" t="s">
        <v>1739</v>
      </c>
      <c r="D142" t="s">
        <v>34</v>
      </c>
      <c r="E142" t="s">
        <v>24</v>
      </c>
      <c r="F142" t="s">
        <v>1</v>
      </c>
      <c r="G142" t="s">
        <v>16</v>
      </c>
      <c r="H142">
        <v>5</v>
      </c>
      <c r="I142" s="3">
        <v>49886</v>
      </c>
      <c r="J142" s="2">
        <v>0.1</v>
      </c>
      <c r="K142" s="3">
        <v>224487</v>
      </c>
      <c r="L142" s="3">
        <v>170233.79</v>
      </c>
      <c r="M142" s="3">
        <v>54253.21</v>
      </c>
    </row>
    <row r="143" spans="1:13" x14ac:dyDescent="0.3">
      <c r="A143" t="s">
        <v>1738</v>
      </c>
      <c r="B143" s="4">
        <v>45955</v>
      </c>
      <c r="C143" t="s">
        <v>1737</v>
      </c>
      <c r="D143" t="s">
        <v>3</v>
      </c>
      <c r="E143" t="s">
        <v>2</v>
      </c>
      <c r="F143" t="s">
        <v>13</v>
      </c>
      <c r="G143" t="s">
        <v>12</v>
      </c>
      <c r="H143">
        <v>4</v>
      </c>
      <c r="I143" s="3">
        <v>31867</v>
      </c>
      <c r="J143" s="2">
        <v>0.05</v>
      </c>
      <c r="K143" s="3">
        <v>121094.6</v>
      </c>
      <c r="L143" s="3">
        <v>72471.960000000006</v>
      </c>
      <c r="M143" s="3">
        <v>48622.64</v>
      </c>
    </row>
    <row r="144" spans="1:13" x14ac:dyDescent="0.3">
      <c r="A144" t="s">
        <v>1736</v>
      </c>
      <c r="B144" s="4">
        <v>45984</v>
      </c>
      <c r="C144" t="s">
        <v>1735</v>
      </c>
      <c r="D144" t="s">
        <v>25</v>
      </c>
      <c r="E144" t="s">
        <v>24</v>
      </c>
      <c r="F144" t="s">
        <v>1</v>
      </c>
      <c r="G144" t="s">
        <v>6</v>
      </c>
      <c r="H144">
        <v>7</v>
      </c>
      <c r="I144" s="3">
        <v>33984</v>
      </c>
      <c r="J144" s="2">
        <v>0.05</v>
      </c>
      <c r="K144" s="3">
        <v>225993.60000000001</v>
      </c>
      <c r="L144" s="3">
        <v>153125.03</v>
      </c>
      <c r="M144" s="3">
        <v>72868.570000000007</v>
      </c>
    </row>
    <row r="145" spans="1:13" x14ac:dyDescent="0.3">
      <c r="A145" t="s">
        <v>1734</v>
      </c>
      <c r="B145" s="4">
        <v>45526</v>
      </c>
      <c r="C145" t="s">
        <v>1733</v>
      </c>
      <c r="D145" t="s">
        <v>53</v>
      </c>
      <c r="E145" t="s">
        <v>2</v>
      </c>
      <c r="F145" t="s">
        <v>1</v>
      </c>
      <c r="G145" t="s">
        <v>16</v>
      </c>
      <c r="H145">
        <v>8</v>
      </c>
      <c r="I145" s="3">
        <v>5852</v>
      </c>
      <c r="J145" s="2">
        <v>0</v>
      </c>
      <c r="K145" s="3">
        <v>46816</v>
      </c>
      <c r="L145" s="3">
        <v>23481.61</v>
      </c>
      <c r="M145" s="3">
        <v>23334.39</v>
      </c>
    </row>
    <row r="146" spans="1:13" x14ac:dyDescent="0.3">
      <c r="A146" t="s">
        <v>1732</v>
      </c>
      <c r="B146" s="4">
        <v>45801</v>
      </c>
      <c r="C146" t="s">
        <v>1731</v>
      </c>
      <c r="D146" t="s">
        <v>25</v>
      </c>
      <c r="E146" t="s">
        <v>24</v>
      </c>
      <c r="F146" t="s">
        <v>1</v>
      </c>
      <c r="G146" t="s">
        <v>20</v>
      </c>
      <c r="H146">
        <v>15</v>
      </c>
      <c r="I146" s="3">
        <v>39492</v>
      </c>
      <c r="J146" s="2">
        <v>0.05</v>
      </c>
      <c r="K146" s="3">
        <v>562761</v>
      </c>
      <c r="L146" s="3">
        <v>304862.15999999997</v>
      </c>
      <c r="M146" s="3">
        <v>257898.84</v>
      </c>
    </row>
    <row r="147" spans="1:13" x14ac:dyDescent="0.3">
      <c r="A147" t="s">
        <v>1730</v>
      </c>
      <c r="B147" s="4">
        <v>45783</v>
      </c>
      <c r="C147" t="s">
        <v>1729</v>
      </c>
      <c r="D147" t="s">
        <v>42</v>
      </c>
      <c r="E147" t="s">
        <v>8</v>
      </c>
      <c r="F147" t="s">
        <v>1</v>
      </c>
      <c r="G147" t="s">
        <v>16</v>
      </c>
      <c r="H147">
        <v>15</v>
      </c>
      <c r="I147" s="3">
        <v>10845</v>
      </c>
      <c r="J147" s="2">
        <v>0.1</v>
      </c>
      <c r="K147" s="3">
        <v>146407.5</v>
      </c>
      <c r="L147" s="3">
        <v>99474.26</v>
      </c>
      <c r="M147" s="3">
        <v>46933.24</v>
      </c>
    </row>
    <row r="148" spans="1:13" x14ac:dyDescent="0.3">
      <c r="A148" t="s">
        <v>1728</v>
      </c>
      <c r="B148" s="4">
        <v>45491</v>
      </c>
      <c r="C148" t="s">
        <v>1727</v>
      </c>
      <c r="D148" t="s">
        <v>28</v>
      </c>
      <c r="E148" t="s">
        <v>8</v>
      </c>
      <c r="F148" t="s">
        <v>13</v>
      </c>
      <c r="G148" t="s">
        <v>0</v>
      </c>
      <c r="H148">
        <v>13</v>
      </c>
      <c r="I148" s="3">
        <v>1830</v>
      </c>
      <c r="J148" s="2">
        <v>0</v>
      </c>
      <c r="K148" s="3">
        <v>23790</v>
      </c>
      <c r="L148" s="3">
        <v>17202.79</v>
      </c>
      <c r="M148" s="3">
        <v>6587.21</v>
      </c>
    </row>
    <row r="149" spans="1:13" x14ac:dyDescent="0.3">
      <c r="A149" t="s">
        <v>1726</v>
      </c>
      <c r="B149" s="4">
        <v>45713</v>
      </c>
      <c r="C149" t="s">
        <v>1725</v>
      </c>
      <c r="D149" t="s">
        <v>3</v>
      </c>
      <c r="E149" t="s">
        <v>2</v>
      </c>
      <c r="F149" t="s">
        <v>7</v>
      </c>
      <c r="G149" t="s">
        <v>37</v>
      </c>
      <c r="H149">
        <v>6</v>
      </c>
      <c r="I149" s="3">
        <v>45566</v>
      </c>
      <c r="J149" s="2">
        <v>0.05</v>
      </c>
      <c r="K149" s="3">
        <v>259726.2</v>
      </c>
      <c r="L149" s="3">
        <v>133878.01999999999</v>
      </c>
      <c r="M149" s="3">
        <v>125848.18</v>
      </c>
    </row>
    <row r="150" spans="1:13" x14ac:dyDescent="0.3">
      <c r="A150" t="s">
        <v>1724</v>
      </c>
      <c r="B150" s="4">
        <v>46122</v>
      </c>
      <c r="C150" t="s">
        <v>1723</v>
      </c>
      <c r="D150" t="s">
        <v>9</v>
      </c>
      <c r="E150" t="s">
        <v>8</v>
      </c>
      <c r="F150" t="s">
        <v>33</v>
      </c>
      <c r="G150" t="s">
        <v>6</v>
      </c>
      <c r="H150">
        <v>11</v>
      </c>
      <c r="I150" s="3">
        <v>27665</v>
      </c>
      <c r="J150" s="2">
        <v>0</v>
      </c>
      <c r="K150" s="3">
        <v>304315</v>
      </c>
      <c r="L150" s="3">
        <v>239371.62</v>
      </c>
      <c r="M150" s="3">
        <v>64943.38</v>
      </c>
    </row>
    <row r="151" spans="1:13" x14ac:dyDescent="0.3">
      <c r="A151" t="s">
        <v>1722</v>
      </c>
      <c r="B151" s="4">
        <v>46114</v>
      </c>
      <c r="C151" t="s">
        <v>1721</v>
      </c>
      <c r="D151" t="s">
        <v>25</v>
      </c>
      <c r="E151" t="s">
        <v>24</v>
      </c>
      <c r="F151" t="s">
        <v>33</v>
      </c>
      <c r="G151" t="s">
        <v>20</v>
      </c>
      <c r="H151">
        <v>10</v>
      </c>
      <c r="I151" s="3">
        <v>41920</v>
      </c>
      <c r="J151" s="2">
        <v>0</v>
      </c>
      <c r="K151" s="3">
        <v>419200</v>
      </c>
      <c r="L151" s="3">
        <v>239443.99</v>
      </c>
      <c r="M151" s="3">
        <v>179756.01</v>
      </c>
    </row>
    <row r="152" spans="1:13" x14ac:dyDescent="0.3">
      <c r="A152" t="s">
        <v>1720</v>
      </c>
      <c r="B152" s="4">
        <v>45784</v>
      </c>
      <c r="C152" t="s">
        <v>1719</v>
      </c>
      <c r="D152" t="s">
        <v>25</v>
      </c>
      <c r="E152" t="s">
        <v>24</v>
      </c>
      <c r="F152" t="s">
        <v>1</v>
      </c>
      <c r="G152" t="s">
        <v>6</v>
      </c>
      <c r="H152">
        <v>7</v>
      </c>
      <c r="I152" s="3">
        <v>14289</v>
      </c>
      <c r="J152" s="2">
        <v>0.15</v>
      </c>
      <c r="K152" s="3">
        <v>85019.55</v>
      </c>
      <c r="L152" s="3">
        <v>62269.11</v>
      </c>
      <c r="M152" s="3">
        <v>22750.44</v>
      </c>
    </row>
    <row r="153" spans="1:13" x14ac:dyDescent="0.3">
      <c r="A153" t="s">
        <v>1718</v>
      </c>
      <c r="B153" s="4">
        <v>45726</v>
      </c>
      <c r="C153" t="s">
        <v>1717</v>
      </c>
      <c r="D153" t="s">
        <v>42</v>
      </c>
      <c r="E153" t="s">
        <v>8</v>
      </c>
      <c r="F153" t="s">
        <v>33</v>
      </c>
      <c r="G153" t="s">
        <v>0</v>
      </c>
      <c r="H153">
        <v>11</v>
      </c>
      <c r="I153" s="3">
        <v>22455</v>
      </c>
      <c r="J153" s="2">
        <v>0.15</v>
      </c>
      <c r="K153" s="3">
        <v>209954.25</v>
      </c>
      <c r="L153" s="3">
        <v>156078.32</v>
      </c>
      <c r="M153" s="3">
        <v>53875.93</v>
      </c>
    </row>
    <row r="154" spans="1:13" x14ac:dyDescent="0.3">
      <c r="A154" t="s">
        <v>1716</v>
      </c>
      <c r="B154" s="4">
        <v>46017</v>
      </c>
      <c r="C154" t="s">
        <v>1715</v>
      </c>
      <c r="D154" t="s">
        <v>28</v>
      </c>
      <c r="E154" t="s">
        <v>8</v>
      </c>
      <c r="F154" t="s">
        <v>7</v>
      </c>
      <c r="G154" t="s">
        <v>16</v>
      </c>
      <c r="H154">
        <v>7</v>
      </c>
      <c r="I154" s="3">
        <v>7731</v>
      </c>
      <c r="J154" s="2">
        <v>0.1</v>
      </c>
      <c r="K154" s="3">
        <v>48705.3</v>
      </c>
      <c r="L154" s="3">
        <v>37058.31</v>
      </c>
      <c r="M154" s="3">
        <v>11646.99</v>
      </c>
    </row>
    <row r="155" spans="1:13" x14ac:dyDescent="0.3">
      <c r="A155" t="s">
        <v>1714</v>
      </c>
      <c r="B155" s="4">
        <v>45586</v>
      </c>
      <c r="C155" t="s">
        <v>1713</v>
      </c>
      <c r="D155" t="s">
        <v>25</v>
      </c>
      <c r="E155" t="s">
        <v>24</v>
      </c>
      <c r="F155" t="s">
        <v>33</v>
      </c>
      <c r="G155" t="s">
        <v>12</v>
      </c>
      <c r="H155">
        <v>14</v>
      </c>
      <c r="I155" s="3">
        <v>48681</v>
      </c>
      <c r="J155" s="2">
        <v>0.05</v>
      </c>
      <c r="K155" s="3">
        <v>647457.30000000005</v>
      </c>
      <c r="L155" s="3">
        <v>412272.25</v>
      </c>
      <c r="M155" s="3">
        <v>235185.05</v>
      </c>
    </row>
    <row r="156" spans="1:13" x14ac:dyDescent="0.3">
      <c r="A156" t="s">
        <v>1712</v>
      </c>
      <c r="B156" s="4">
        <v>45723</v>
      </c>
      <c r="C156" t="s">
        <v>1711</v>
      </c>
      <c r="D156" t="s">
        <v>17</v>
      </c>
      <c r="E156" t="s">
        <v>2</v>
      </c>
      <c r="F156" t="s">
        <v>23</v>
      </c>
      <c r="G156" t="s">
        <v>16</v>
      </c>
      <c r="H156">
        <v>15</v>
      </c>
      <c r="I156" s="3">
        <v>21521</v>
      </c>
      <c r="J156" s="2">
        <v>0.15</v>
      </c>
      <c r="K156" s="3">
        <v>274392.75</v>
      </c>
      <c r="L156" s="3">
        <v>148100.4</v>
      </c>
      <c r="M156" s="3">
        <v>126292.35</v>
      </c>
    </row>
    <row r="157" spans="1:13" x14ac:dyDescent="0.3">
      <c r="A157" t="s">
        <v>1710</v>
      </c>
      <c r="B157" s="4">
        <v>45493</v>
      </c>
      <c r="C157" t="s">
        <v>1709</v>
      </c>
      <c r="D157" t="s">
        <v>28</v>
      </c>
      <c r="E157" t="s">
        <v>8</v>
      </c>
      <c r="F157" t="s">
        <v>13</v>
      </c>
      <c r="G157" t="s">
        <v>12</v>
      </c>
      <c r="H157">
        <v>8</v>
      </c>
      <c r="I157" s="3">
        <v>22305</v>
      </c>
      <c r="J157" s="2">
        <v>0.05</v>
      </c>
      <c r="K157" s="3">
        <v>169518</v>
      </c>
      <c r="L157" s="3">
        <v>85639.14</v>
      </c>
      <c r="M157" s="3">
        <v>83878.86</v>
      </c>
    </row>
    <row r="158" spans="1:13" x14ac:dyDescent="0.3">
      <c r="A158" t="s">
        <v>1708</v>
      </c>
      <c r="B158" s="4">
        <v>45471</v>
      </c>
      <c r="C158" t="s">
        <v>1707</v>
      </c>
      <c r="D158" t="s">
        <v>28</v>
      </c>
      <c r="E158" t="s">
        <v>8</v>
      </c>
      <c r="F158" t="s">
        <v>7</v>
      </c>
      <c r="G158" t="s">
        <v>0</v>
      </c>
      <c r="H158">
        <v>2</v>
      </c>
      <c r="I158" s="3">
        <v>49607</v>
      </c>
      <c r="J158" s="2">
        <v>0.2</v>
      </c>
      <c r="K158" s="3">
        <v>79371.199999999997</v>
      </c>
      <c r="L158" s="3">
        <v>44455.01</v>
      </c>
      <c r="M158" s="3">
        <v>34916.19</v>
      </c>
    </row>
    <row r="159" spans="1:13" x14ac:dyDescent="0.3">
      <c r="A159" t="s">
        <v>1706</v>
      </c>
      <c r="B159" s="4">
        <v>45927</v>
      </c>
      <c r="C159" t="s">
        <v>1705</v>
      </c>
      <c r="D159" t="s">
        <v>53</v>
      </c>
      <c r="E159" t="s">
        <v>2</v>
      </c>
      <c r="F159" t="s">
        <v>1</v>
      </c>
      <c r="G159" t="s">
        <v>0</v>
      </c>
      <c r="H159">
        <v>3</v>
      </c>
      <c r="I159" s="3">
        <v>9794</v>
      </c>
      <c r="J159" s="2">
        <v>0</v>
      </c>
      <c r="K159" s="3">
        <v>29382</v>
      </c>
      <c r="L159" s="3">
        <v>18637.21</v>
      </c>
      <c r="M159" s="3">
        <v>10744.79</v>
      </c>
    </row>
    <row r="160" spans="1:13" x14ac:dyDescent="0.3">
      <c r="A160" t="s">
        <v>1704</v>
      </c>
      <c r="B160" s="4">
        <v>45830</v>
      </c>
      <c r="C160" t="s">
        <v>1703</v>
      </c>
      <c r="D160" t="s">
        <v>3</v>
      </c>
      <c r="E160" t="s">
        <v>2</v>
      </c>
      <c r="F160" t="s">
        <v>33</v>
      </c>
      <c r="G160" t="s">
        <v>37</v>
      </c>
      <c r="H160">
        <v>15</v>
      </c>
      <c r="I160" s="3">
        <v>64273</v>
      </c>
      <c r="J160" s="2">
        <v>0.1</v>
      </c>
      <c r="K160" s="3">
        <v>867685.5</v>
      </c>
      <c r="L160" s="3">
        <v>450052.06</v>
      </c>
      <c r="M160" s="3">
        <v>417633.44</v>
      </c>
    </row>
    <row r="161" spans="1:13" x14ac:dyDescent="0.3">
      <c r="A161" t="s">
        <v>1702</v>
      </c>
      <c r="B161" s="4">
        <v>45766</v>
      </c>
      <c r="C161" t="s">
        <v>1701</v>
      </c>
      <c r="D161" t="s">
        <v>9</v>
      </c>
      <c r="E161" t="s">
        <v>8</v>
      </c>
      <c r="F161" t="s">
        <v>13</v>
      </c>
      <c r="G161" t="s">
        <v>12</v>
      </c>
      <c r="H161">
        <v>12</v>
      </c>
      <c r="I161" s="3">
        <v>22007</v>
      </c>
      <c r="J161" s="2">
        <v>0.05</v>
      </c>
      <c r="K161" s="3">
        <v>250879.8</v>
      </c>
      <c r="L161" s="3">
        <v>179973.29</v>
      </c>
      <c r="M161" s="3">
        <v>70906.509999999995</v>
      </c>
    </row>
    <row r="162" spans="1:13" x14ac:dyDescent="0.3">
      <c r="A162" t="s">
        <v>1700</v>
      </c>
      <c r="B162" s="4">
        <v>46143</v>
      </c>
      <c r="C162" t="s">
        <v>1699</v>
      </c>
      <c r="D162" t="s">
        <v>25</v>
      </c>
      <c r="E162" t="s">
        <v>24</v>
      </c>
      <c r="F162" t="s">
        <v>13</v>
      </c>
      <c r="G162" t="s">
        <v>12</v>
      </c>
      <c r="H162">
        <v>10</v>
      </c>
      <c r="I162" s="3">
        <v>29591</v>
      </c>
      <c r="J162" s="2">
        <v>0</v>
      </c>
      <c r="K162" s="3">
        <v>295910</v>
      </c>
      <c r="L162" s="3">
        <v>189356.05</v>
      </c>
      <c r="M162" s="3">
        <v>106553.95</v>
      </c>
    </row>
    <row r="163" spans="1:13" x14ac:dyDescent="0.3">
      <c r="A163" t="s">
        <v>1698</v>
      </c>
      <c r="B163" s="4">
        <v>45496</v>
      </c>
      <c r="C163" t="s">
        <v>1697</v>
      </c>
      <c r="D163" t="s">
        <v>56</v>
      </c>
      <c r="E163" t="s">
        <v>24</v>
      </c>
      <c r="F163" t="s">
        <v>1</v>
      </c>
      <c r="G163" t="s">
        <v>37</v>
      </c>
      <c r="H163">
        <v>2</v>
      </c>
      <c r="I163" s="3">
        <v>20590</v>
      </c>
      <c r="J163" s="2">
        <v>0.05</v>
      </c>
      <c r="K163" s="3">
        <v>39121</v>
      </c>
      <c r="L163" s="3">
        <v>32851.56</v>
      </c>
      <c r="M163" s="3">
        <v>6269.44</v>
      </c>
    </row>
    <row r="164" spans="1:13" x14ac:dyDescent="0.3">
      <c r="A164" t="s">
        <v>1696</v>
      </c>
      <c r="B164" s="4">
        <v>46018</v>
      </c>
      <c r="C164" t="s">
        <v>1695</v>
      </c>
      <c r="D164" t="s">
        <v>9</v>
      </c>
      <c r="E164" t="s">
        <v>8</v>
      </c>
      <c r="F164" t="s">
        <v>33</v>
      </c>
      <c r="G164" t="s">
        <v>20</v>
      </c>
      <c r="H164">
        <v>1</v>
      </c>
      <c r="I164" s="3">
        <v>43493</v>
      </c>
      <c r="J164" s="2">
        <v>0</v>
      </c>
      <c r="K164" s="3">
        <v>43493</v>
      </c>
      <c r="L164" s="3">
        <v>27680.81</v>
      </c>
      <c r="M164" s="3">
        <v>15812.19</v>
      </c>
    </row>
    <row r="165" spans="1:13" x14ac:dyDescent="0.3">
      <c r="A165" t="s">
        <v>1694</v>
      </c>
      <c r="B165" s="4">
        <v>46142</v>
      </c>
      <c r="C165" t="s">
        <v>1693</v>
      </c>
      <c r="D165" t="s">
        <v>28</v>
      </c>
      <c r="E165" t="s">
        <v>8</v>
      </c>
      <c r="F165" t="s">
        <v>33</v>
      </c>
      <c r="G165" t="s">
        <v>16</v>
      </c>
      <c r="H165">
        <v>11</v>
      </c>
      <c r="I165" s="3">
        <v>56059</v>
      </c>
      <c r="J165" s="2">
        <v>0.1</v>
      </c>
      <c r="K165" s="3">
        <v>554984.1</v>
      </c>
      <c r="L165" s="3">
        <v>390663.65</v>
      </c>
      <c r="M165" s="3">
        <v>164320.45000000001</v>
      </c>
    </row>
    <row r="166" spans="1:13" x14ac:dyDescent="0.3">
      <c r="A166" t="s">
        <v>1692</v>
      </c>
      <c r="B166" s="4">
        <v>45700</v>
      </c>
      <c r="C166" t="s">
        <v>1691</v>
      </c>
      <c r="D166" t="s">
        <v>28</v>
      </c>
      <c r="E166" t="s">
        <v>8</v>
      </c>
      <c r="F166" t="s">
        <v>23</v>
      </c>
      <c r="G166" t="s">
        <v>20</v>
      </c>
      <c r="H166">
        <v>8</v>
      </c>
      <c r="I166" s="3">
        <v>67005</v>
      </c>
      <c r="J166" s="2">
        <v>0.15</v>
      </c>
      <c r="K166" s="3">
        <v>455634</v>
      </c>
      <c r="L166" s="3">
        <v>256324.82</v>
      </c>
      <c r="M166" s="3">
        <v>199309.18</v>
      </c>
    </row>
    <row r="167" spans="1:13" x14ac:dyDescent="0.3">
      <c r="A167" t="s">
        <v>1690</v>
      </c>
      <c r="B167" s="4">
        <v>45941</v>
      </c>
      <c r="C167" t="s">
        <v>1689</v>
      </c>
      <c r="D167" t="s">
        <v>56</v>
      </c>
      <c r="E167" t="s">
        <v>24</v>
      </c>
      <c r="F167" t="s">
        <v>33</v>
      </c>
      <c r="G167" t="s">
        <v>12</v>
      </c>
      <c r="H167">
        <v>4</v>
      </c>
      <c r="I167" s="3">
        <v>59565</v>
      </c>
      <c r="J167" s="2">
        <v>0.2</v>
      </c>
      <c r="K167" s="3">
        <v>190608</v>
      </c>
      <c r="L167" s="3">
        <v>147338.31</v>
      </c>
      <c r="M167" s="3">
        <v>43269.69</v>
      </c>
    </row>
    <row r="168" spans="1:13" x14ac:dyDescent="0.3">
      <c r="A168" t="s">
        <v>1688</v>
      </c>
      <c r="B168" s="4">
        <v>45866</v>
      </c>
      <c r="C168" t="s">
        <v>1687</v>
      </c>
      <c r="D168" t="s">
        <v>56</v>
      </c>
      <c r="E168" t="s">
        <v>24</v>
      </c>
      <c r="F168" t="s">
        <v>7</v>
      </c>
      <c r="G168" t="s">
        <v>37</v>
      </c>
      <c r="H168">
        <v>2</v>
      </c>
      <c r="I168" s="3">
        <v>9797</v>
      </c>
      <c r="J168" s="2">
        <v>0.05</v>
      </c>
      <c r="K168" s="3">
        <v>18614.3</v>
      </c>
      <c r="L168" s="3">
        <v>11643.27</v>
      </c>
      <c r="M168" s="3">
        <v>6971.03</v>
      </c>
    </row>
    <row r="169" spans="1:13" x14ac:dyDescent="0.3">
      <c r="A169" t="s">
        <v>1686</v>
      </c>
      <c r="B169" s="4">
        <v>45492</v>
      </c>
      <c r="C169" t="s">
        <v>1685</v>
      </c>
      <c r="D169" t="s">
        <v>34</v>
      </c>
      <c r="E169" t="s">
        <v>24</v>
      </c>
      <c r="F169" t="s">
        <v>23</v>
      </c>
      <c r="G169" t="s">
        <v>6</v>
      </c>
      <c r="H169">
        <v>9</v>
      </c>
      <c r="I169" s="3">
        <v>6343</v>
      </c>
      <c r="J169" s="2">
        <v>0</v>
      </c>
      <c r="K169" s="3">
        <v>57087</v>
      </c>
      <c r="L169" s="3">
        <v>41259.800000000003</v>
      </c>
      <c r="M169" s="3">
        <v>15827.2</v>
      </c>
    </row>
    <row r="170" spans="1:13" x14ac:dyDescent="0.3">
      <c r="A170" t="s">
        <v>1684</v>
      </c>
      <c r="B170" s="4">
        <v>45604</v>
      </c>
      <c r="C170" t="s">
        <v>1683</v>
      </c>
      <c r="D170" t="s">
        <v>34</v>
      </c>
      <c r="E170" t="s">
        <v>24</v>
      </c>
      <c r="F170" t="s">
        <v>33</v>
      </c>
      <c r="G170" t="s">
        <v>6</v>
      </c>
      <c r="H170">
        <v>9</v>
      </c>
      <c r="I170" s="3">
        <v>11481</v>
      </c>
      <c r="J170" s="2">
        <v>0</v>
      </c>
      <c r="K170" s="3">
        <v>103329</v>
      </c>
      <c r="L170" s="3">
        <v>78862.820000000007</v>
      </c>
      <c r="M170" s="3">
        <v>24466.18</v>
      </c>
    </row>
    <row r="171" spans="1:13" x14ac:dyDescent="0.3">
      <c r="A171" t="s">
        <v>1682</v>
      </c>
      <c r="B171" s="4">
        <v>45765</v>
      </c>
      <c r="C171" t="s">
        <v>1681</v>
      </c>
      <c r="D171" t="s">
        <v>3</v>
      </c>
      <c r="E171" t="s">
        <v>2</v>
      </c>
      <c r="F171" t="s">
        <v>23</v>
      </c>
      <c r="G171" t="s">
        <v>12</v>
      </c>
      <c r="H171">
        <v>14</v>
      </c>
      <c r="I171" s="3">
        <v>9700</v>
      </c>
      <c r="J171" s="2">
        <v>0.2</v>
      </c>
      <c r="K171" s="3">
        <v>108640</v>
      </c>
      <c r="L171" s="3">
        <v>82156.78</v>
      </c>
      <c r="M171" s="3">
        <v>26483.22</v>
      </c>
    </row>
    <row r="172" spans="1:13" x14ac:dyDescent="0.3">
      <c r="A172" t="s">
        <v>1680</v>
      </c>
      <c r="B172" s="4">
        <v>45699</v>
      </c>
      <c r="C172" t="s">
        <v>1679</v>
      </c>
      <c r="D172" t="s">
        <v>17</v>
      </c>
      <c r="E172" t="s">
        <v>2</v>
      </c>
      <c r="F172" t="s">
        <v>7</v>
      </c>
      <c r="G172" t="s">
        <v>20</v>
      </c>
      <c r="H172">
        <v>5</v>
      </c>
      <c r="I172" s="3">
        <v>22641</v>
      </c>
      <c r="J172" s="2">
        <v>0.05</v>
      </c>
      <c r="K172" s="3">
        <v>107544.75</v>
      </c>
      <c r="L172" s="3">
        <v>56238.45</v>
      </c>
      <c r="M172" s="3">
        <v>51306.3</v>
      </c>
    </row>
    <row r="173" spans="1:13" x14ac:dyDescent="0.3">
      <c r="A173" t="s">
        <v>1678</v>
      </c>
      <c r="B173" s="4">
        <v>46062</v>
      </c>
      <c r="C173" t="s">
        <v>1677</v>
      </c>
      <c r="D173" t="s">
        <v>25</v>
      </c>
      <c r="E173" t="s">
        <v>24</v>
      </c>
      <c r="F173" t="s">
        <v>13</v>
      </c>
      <c r="G173" t="s">
        <v>16</v>
      </c>
      <c r="H173">
        <v>6</v>
      </c>
      <c r="I173" s="3">
        <v>37043</v>
      </c>
      <c r="J173" s="2">
        <v>0.15</v>
      </c>
      <c r="K173" s="3">
        <v>188919.3</v>
      </c>
      <c r="L173" s="3">
        <v>103952.9</v>
      </c>
      <c r="M173" s="3">
        <v>84966.399999999994</v>
      </c>
    </row>
    <row r="174" spans="1:13" x14ac:dyDescent="0.3">
      <c r="A174" t="s">
        <v>1676</v>
      </c>
      <c r="B174" s="4">
        <v>45754</v>
      </c>
      <c r="C174" t="s">
        <v>1675</v>
      </c>
      <c r="D174" t="s">
        <v>53</v>
      </c>
      <c r="E174" t="s">
        <v>2</v>
      </c>
      <c r="F174" t="s">
        <v>23</v>
      </c>
      <c r="G174" t="s">
        <v>12</v>
      </c>
      <c r="H174">
        <v>5</v>
      </c>
      <c r="I174" s="3">
        <v>67323</v>
      </c>
      <c r="J174" s="2">
        <v>0.05</v>
      </c>
      <c r="K174" s="3">
        <v>319784.25</v>
      </c>
      <c r="L174" s="3">
        <v>195604.71</v>
      </c>
      <c r="M174" s="3">
        <v>124179.54</v>
      </c>
    </row>
    <row r="175" spans="1:13" x14ac:dyDescent="0.3">
      <c r="A175" t="s">
        <v>1674</v>
      </c>
      <c r="B175" s="4">
        <v>45643</v>
      </c>
      <c r="C175" t="s">
        <v>1673</v>
      </c>
      <c r="D175" t="s">
        <v>17</v>
      </c>
      <c r="E175" t="s">
        <v>2</v>
      </c>
      <c r="F175" t="s">
        <v>1</v>
      </c>
      <c r="G175" t="s">
        <v>0</v>
      </c>
      <c r="H175">
        <v>3</v>
      </c>
      <c r="I175" s="3">
        <v>37463</v>
      </c>
      <c r="J175" s="2">
        <v>0.1</v>
      </c>
      <c r="K175" s="3">
        <v>101150.1</v>
      </c>
      <c r="L175" s="3">
        <v>82274.94</v>
      </c>
      <c r="M175" s="3">
        <v>18875.16</v>
      </c>
    </row>
    <row r="176" spans="1:13" x14ac:dyDescent="0.3">
      <c r="A176" t="s">
        <v>1672</v>
      </c>
      <c r="B176" s="4">
        <v>45713</v>
      </c>
      <c r="C176" t="s">
        <v>1671</v>
      </c>
      <c r="D176" t="s">
        <v>53</v>
      </c>
      <c r="E176" t="s">
        <v>2</v>
      </c>
      <c r="F176" t="s">
        <v>13</v>
      </c>
      <c r="G176" t="s">
        <v>6</v>
      </c>
      <c r="H176">
        <v>1</v>
      </c>
      <c r="I176" s="3">
        <v>48156</v>
      </c>
      <c r="J176" s="2">
        <v>0.15</v>
      </c>
      <c r="K176" s="3">
        <v>40932.6</v>
      </c>
      <c r="L176" s="3">
        <v>28420.04</v>
      </c>
      <c r="M176" s="3">
        <v>12512.56</v>
      </c>
    </row>
    <row r="177" spans="1:13" x14ac:dyDescent="0.3">
      <c r="A177" t="s">
        <v>1670</v>
      </c>
      <c r="B177" s="4">
        <v>46104</v>
      </c>
      <c r="C177" t="s">
        <v>1669</v>
      </c>
      <c r="D177" t="s">
        <v>17</v>
      </c>
      <c r="E177" t="s">
        <v>2</v>
      </c>
      <c r="F177" t="s">
        <v>7</v>
      </c>
      <c r="G177" t="s">
        <v>20</v>
      </c>
      <c r="H177">
        <v>9</v>
      </c>
      <c r="I177" s="3">
        <v>52675</v>
      </c>
      <c r="J177" s="2">
        <v>0.1</v>
      </c>
      <c r="K177" s="3">
        <v>426667.5</v>
      </c>
      <c r="L177" s="3">
        <v>252870.44</v>
      </c>
      <c r="M177" s="3">
        <v>173797.06</v>
      </c>
    </row>
    <row r="178" spans="1:13" x14ac:dyDescent="0.3">
      <c r="A178" t="s">
        <v>1668</v>
      </c>
      <c r="B178" s="4">
        <v>45732</v>
      </c>
      <c r="C178" t="s">
        <v>1667</v>
      </c>
      <c r="D178" t="s">
        <v>17</v>
      </c>
      <c r="E178" t="s">
        <v>2</v>
      </c>
      <c r="F178" t="s">
        <v>13</v>
      </c>
      <c r="G178" t="s">
        <v>6</v>
      </c>
      <c r="H178">
        <v>6</v>
      </c>
      <c r="I178" s="3">
        <v>11667</v>
      </c>
      <c r="J178" s="2">
        <v>0.15</v>
      </c>
      <c r="K178" s="3">
        <v>59501.7</v>
      </c>
      <c r="L178" s="3">
        <v>34541.72</v>
      </c>
      <c r="M178" s="3">
        <v>24959.98</v>
      </c>
    </row>
    <row r="179" spans="1:13" x14ac:dyDescent="0.3">
      <c r="A179" t="s">
        <v>1666</v>
      </c>
      <c r="B179" s="4">
        <v>46093</v>
      </c>
      <c r="C179" t="s">
        <v>1665</v>
      </c>
      <c r="D179" t="s">
        <v>17</v>
      </c>
      <c r="E179" t="s">
        <v>2</v>
      </c>
      <c r="F179" t="s">
        <v>13</v>
      </c>
      <c r="G179" t="s">
        <v>6</v>
      </c>
      <c r="H179">
        <v>14</v>
      </c>
      <c r="I179" s="3">
        <v>68647</v>
      </c>
      <c r="J179" s="2">
        <v>0.1</v>
      </c>
      <c r="K179" s="3">
        <v>864952.2</v>
      </c>
      <c r="L179" s="3">
        <v>526345.34</v>
      </c>
      <c r="M179" s="3">
        <v>338606.86</v>
      </c>
    </row>
    <row r="180" spans="1:13" x14ac:dyDescent="0.3">
      <c r="A180" t="s">
        <v>1664</v>
      </c>
      <c r="B180" s="4">
        <v>45764</v>
      </c>
      <c r="C180" t="s">
        <v>1663</v>
      </c>
      <c r="D180" t="s">
        <v>34</v>
      </c>
      <c r="E180" t="s">
        <v>24</v>
      </c>
      <c r="F180" t="s">
        <v>13</v>
      </c>
      <c r="G180" t="s">
        <v>6</v>
      </c>
      <c r="H180">
        <v>1</v>
      </c>
      <c r="I180" s="3">
        <v>5429</v>
      </c>
      <c r="J180" s="2">
        <v>0.05</v>
      </c>
      <c r="K180" s="3">
        <v>5157.55</v>
      </c>
      <c r="L180" s="3">
        <v>2848.4</v>
      </c>
      <c r="M180" s="3">
        <v>2309.15</v>
      </c>
    </row>
    <row r="181" spans="1:13" x14ac:dyDescent="0.3">
      <c r="A181" t="s">
        <v>1662</v>
      </c>
      <c r="B181" s="4">
        <v>45890</v>
      </c>
      <c r="C181" t="s">
        <v>1661</v>
      </c>
      <c r="D181" t="s">
        <v>56</v>
      </c>
      <c r="E181" t="s">
        <v>24</v>
      </c>
      <c r="F181" t="s">
        <v>1</v>
      </c>
      <c r="G181" t="s">
        <v>20</v>
      </c>
      <c r="H181">
        <v>9</v>
      </c>
      <c r="I181" s="3">
        <v>48723</v>
      </c>
      <c r="J181" s="2">
        <v>0</v>
      </c>
      <c r="K181" s="3">
        <v>438507</v>
      </c>
      <c r="L181" s="3">
        <v>239516.1</v>
      </c>
      <c r="M181" s="3">
        <v>198990.9</v>
      </c>
    </row>
    <row r="182" spans="1:13" x14ac:dyDescent="0.3">
      <c r="A182" t="s">
        <v>1660</v>
      </c>
      <c r="B182" s="4">
        <v>45844</v>
      </c>
      <c r="C182" t="s">
        <v>1659</v>
      </c>
      <c r="D182" t="s">
        <v>42</v>
      </c>
      <c r="E182" t="s">
        <v>8</v>
      </c>
      <c r="F182" t="s">
        <v>7</v>
      </c>
      <c r="G182" t="s">
        <v>37</v>
      </c>
      <c r="H182">
        <v>1</v>
      </c>
      <c r="I182" s="3">
        <v>8129</v>
      </c>
      <c r="J182" s="2">
        <v>0</v>
      </c>
      <c r="K182" s="3">
        <v>8129</v>
      </c>
      <c r="L182" s="3">
        <v>5678.04</v>
      </c>
      <c r="M182" s="3">
        <v>2450.96</v>
      </c>
    </row>
    <row r="183" spans="1:13" x14ac:dyDescent="0.3">
      <c r="A183" t="s">
        <v>1658</v>
      </c>
      <c r="B183" s="4">
        <v>45518</v>
      </c>
      <c r="C183" t="s">
        <v>1657</v>
      </c>
      <c r="D183" t="s">
        <v>28</v>
      </c>
      <c r="E183" t="s">
        <v>8</v>
      </c>
      <c r="F183" t="s">
        <v>13</v>
      </c>
      <c r="G183" t="s">
        <v>12</v>
      </c>
      <c r="H183">
        <v>9</v>
      </c>
      <c r="I183" s="3">
        <v>30394</v>
      </c>
      <c r="J183" s="2">
        <v>0.15</v>
      </c>
      <c r="K183" s="3">
        <v>232514.1</v>
      </c>
      <c r="L183" s="3">
        <v>163749.64000000001</v>
      </c>
      <c r="M183" s="3">
        <v>68764.460000000006</v>
      </c>
    </row>
    <row r="184" spans="1:13" x14ac:dyDescent="0.3">
      <c r="A184" t="s">
        <v>1656</v>
      </c>
      <c r="B184" s="4">
        <v>45518</v>
      </c>
      <c r="C184" t="s">
        <v>1655</v>
      </c>
      <c r="D184" t="s">
        <v>17</v>
      </c>
      <c r="E184" t="s">
        <v>2</v>
      </c>
      <c r="F184" t="s">
        <v>1</v>
      </c>
      <c r="G184" t="s">
        <v>6</v>
      </c>
      <c r="H184">
        <v>10</v>
      </c>
      <c r="I184" s="3">
        <v>63246</v>
      </c>
      <c r="J184" s="2">
        <v>0.05</v>
      </c>
      <c r="K184" s="3">
        <v>600837</v>
      </c>
      <c r="L184" s="3">
        <v>328755.20000000001</v>
      </c>
      <c r="M184" s="3">
        <v>272081.8</v>
      </c>
    </row>
    <row r="185" spans="1:13" x14ac:dyDescent="0.3">
      <c r="A185" t="s">
        <v>1654</v>
      </c>
      <c r="B185" s="4">
        <v>46028</v>
      </c>
      <c r="C185" t="s">
        <v>1653</v>
      </c>
      <c r="D185" t="s">
        <v>17</v>
      </c>
      <c r="E185" t="s">
        <v>2</v>
      </c>
      <c r="F185" t="s">
        <v>7</v>
      </c>
      <c r="G185" t="s">
        <v>16</v>
      </c>
      <c r="H185">
        <v>2</v>
      </c>
      <c r="I185" s="3">
        <v>9345</v>
      </c>
      <c r="J185" s="2">
        <v>0.05</v>
      </c>
      <c r="K185" s="3">
        <v>17755.5</v>
      </c>
      <c r="L185" s="3">
        <v>14292.29</v>
      </c>
      <c r="M185" s="3">
        <v>3463.21</v>
      </c>
    </row>
    <row r="186" spans="1:13" x14ac:dyDescent="0.3">
      <c r="A186" t="s">
        <v>1652</v>
      </c>
      <c r="B186" s="4">
        <v>45435</v>
      </c>
      <c r="C186" t="s">
        <v>1651</v>
      </c>
      <c r="D186" t="s">
        <v>25</v>
      </c>
      <c r="E186" t="s">
        <v>24</v>
      </c>
      <c r="F186" t="s">
        <v>13</v>
      </c>
      <c r="G186" t="s">
        <v>16</v>
      </c>
      <c r="H186">
        <v>1</v>
      </c>
      <c r="I186" s="3">
        <v>74705</v>
      </c>
      <c r="J186" s="2">
        <v>0.1</v>
      </c>
      <c r="K186" s="3">
        <v>67234.5</v>
      </c>
      <c r="L186" s="3">
        <v>47612.35</v>
      </c>
      <c r="M186" s="3">
        <v>19622.150000000001</v>
      </c>
    </row>
    <row r="187" spans="1:13" x14ac:dyDescent="0.3">
      <c r="A187" t="s">
        <v>1650</v>
      </c>
      <c r="B187" s="4">
        <v>45935</v>
      </c>
      <c r="C187" t="s">
        <v>1649</v>
      </c>
      <c r="D187" t="s">
        <v>9</v>
      </c>
      <c r="E187" t="s">
        <v>8</v>
      </c>
      <c r="F187" t="s">
        <v>23</v>
      </c>
      <c r="G187" t="s">
        <v>37</v>
      </c>
      <c r="H187">
        <v>12</v>
      </c>
      <c r="I187" s="3">
        <v>65599</v>
      </c>
      <c r="J187" s="2">
        <v>0.05</v>
      </c>
      <c r="K187" s="3">
        <v>747828.6</v>
      </c>
      <c r="L187" s="3">
        <v>417127.36</v>
      </c>
      <c r="M187" s="3">
        <v>330701.24</v>
      </c>
    </row>
    <row r="188" spans="1:13" x14ac:dyDescent="0.3">
      <c r="A188" t="s">
        <v>1648</v>
      </c>
      <c r="B188" s="4">
        <v>45844</v>
      </c>
      <c r="C188" t="s">
        <v>1647</v>
      </c>
      <c r="D188" t="s">
        <v>53</v>
      </c>
      <c r="E188" t="s">
        <v>2</v>
      </c>
      <c r="F188" t="s">
        <v>23</v>
      </c>
      <c r="G188" t="s">
        <v>37</v>
      </c>
      <c r="H188">
        <v>1</v>
      </c>
      <c r="I188" s="3">
        <v>54213</v>
      </c>
      <c r="J188" s="2">
        <v>0.05</v>
      </c>
      <c r="K188" s="3">
        <v>51502.35</v>
      </c>
      <c r="L188" s="3">
        <v>30035.35</v>
      </c>
      <c r="M188" s="3">
        <v>21467</v>
      </c>
    </row>
    <row r="189" spans="1:13" x14ac:dyDescent="0.3">
      <c r="A189" t="s">
        <v>1646</v>
      </c>
      <c r="B189" s="4">
        <v>45488</v>
      </c>
      <c r="C189" t="s">
        <v>1645</v>
      </c>
      <c r="D189" t="s">
        <v>53</v>
      </c>
      <c r="E189" t="s">
        <v>2</v>
      </c>
      <c r="F189" t="s">
        <v>13</v>
      </c>
      <c r="G189" t="s">
        <v>20</v>
      </c>
      <c r="H189">
        <v>9</v>
      </c>
      <c r="I189" s="3">
        <v>26855</v>
      </c>
      <c r="J189" s="2">
        <v>0.05</v>
      </c>
      <c r="K189" s="3">
        <v>229610.25</v>
      </c>
      <c r="L189" s="3">
        <v>148009.60999999999</v>
      </c>
      <c r="M189" s="3">
        <v>81600.639999999999</v>
      </c>
    </row>
    <row r="190" spans="1:13" x14ac:dyDescent="0.3">
      <c r="A190" t="s">
        <v>1644</v>
      </c>
      <c r="B190" s="4">
        <v>45636</v>
      </c>
      <c r="C190" t="s">
        <v>1643</v>
      </c>
      <c r="D190" t="s">
        <v>9</v>
      </c>
      <c r="E190" t="s">
        <v>8</v>
      </c>
      <c r="F190" t="s">
        <v>7</v>
      </c>
      <c r="G190" t="s">
        <v>37</v>
      </c>
      <c r="H190">
        <v>11</v>
      </c>
      <c r="I190" s="3">
        <v>55426</v>
      </c>
      <c r="J190" s="2">
        <v>0.2</v>
      </c>
      <c r="K190" s="3">
        <v>487748.8</v>
      </c>
      <c r="L190" s="3">
        <v>273687.46999999997</v>
      </c>
      <c r="M190" s="3">
        <v>214061.33</v>
      </c>
    </row>
    <row r="191" spans="1:13" x14ac:dyDescent="0.3">
      <c r="A191" t="s">
        <v>1642</v>
      </c>
      <c r="B191" s="4">
        <v>45668</v>
      </c>
      <c r="C191" t="s">
        <v>1641</v>
      </c>
      <c r="D191" t="s">
        <v>34</v>
      </c>
      <c r="E191" t="s">
        <v>24</v>
      </c>
      <c r="F191" t="s">
        <v>33</v>
      </c>
      <c r="G191" t="s">
        <v>6</v>
      </c>
      <c r="H191">
        <v>1</v>
      </c>
      <c r="I191" s="3">
        <v>63642</v>
      </c>
      <c r="J191" s="2">
        <v>0.2</v>
      </c>
      <c r="K191" s="3">
        <v>50913.599999999999</v>
      </c>
      <c r="L191" s="3">
        <v>25569.94</v>
      </c>
      <c r="M191" s="3">
        <v>25343.66</v>
      </c>
    </row>
    <row r="192" spans="1:13" x14ac:dyDescent="0.3">
      <c r="A192" t="s">
        <v>1640</v>
      </c>
      <c r="B192" s="4">
        <v>45622</v>
      </c>
      <c r="C192" t="s">
        <v>1639</v>
      </c>
      <c r="D192" t="s">
        <v>25</v>
      </c>
      <c r="E192" t="s">
        <v>24</v>
      </c>
      <c r="F192" t="s">
        <v>23</v>
      </c>
      <c r="G192" t="s">
        <v>0</v>
      </c>
      <c r="H192">
        <v>12</v>
      </c>
      <c r="I192" s="3">
        <v>60308</v>
      </c>
      <c r="J192" s="2">
        <v>0.05</v>
      </c>
      <c r="K192" s="3">
        <v>687511.2</v>
      </c>
      <c r="L192" s="3">
        <v>398125.32</v>
      </c>
      <c r="M192" s="3">
        <v>289385.88</v>
      </c>
    </row>
    <row r="193" spans="1:13" x14ac:dyDescent="0.3">
      <c r="A193" t="s">
        <v>1638</v>
      </c>
      <c r="B193" s="4">
        <v>45753</v>
      </c>
      <c r="C193" t="s">
        <v>1637</v>
      </c>
      <c r="D193" t="s">
        <v>53</v>
      </c>
      <c r="E193" t="s">
        <v>2</v>
      </c>
      <c r="F193" t="s">
        <v>7</v>
      </c>
      <c r="G193" t="s">
        <v>6</v>
      </c>
      <c r="H193">
        <v>1</v>
      </c>
      <c r="I193" s="3">
        <v>17156</v>
      </c>
      <c r="J193" s="2">
        <v>0.1</v>
      </c>
      <c r="K193" s="3">
        <v>15440.4</v>
      </c>
      <c r="L193" s="3">
        <v>12536.77</v>
      </c>
      <c r="M193" s="3">
        <v>2903.63</v>
      </c>
    </row>
    <row r="194" spans="1:13" x14ac:dyDescent="0.3">
      <c r="A194" t="s">
        <v>1636</v>
      </c>
      <c r="B194" s="4">
        <v>45821</v>
      </c>
      <c r="C194" t="s">
        <v>1635</v>
      </c>
      <c r="D194" t="s">
        <v>17</v>
      </c>
      <c r="E194" t="s">
        <v>2</v>
      </c>
      <c r="F194" t="s">
        <v>13</v>
      </c>
      <c r="G194" t="s">
        <v>0</v>
      </c>
      <c r="H194">
        <v>11</v>
      </c>
      <c r="I194" s="3">
        <v>73586</v>
      </c>
      <c r="J194" s="2">
        <v>0.15</v>
      </c>
      <c r="K194" s="3">
        <v>688029.1</v>
      </c>
      <c r="L194" s="3">
        <v>509146.21</v>
      </c>
      <c r="M194" s="3">
        <v>178882.89</v>
      </c>
    </row>
    <row r="195" spans="1:13" x14ac:dyDescent="0.3">
      <c r="A195" t="s">
        <v>1634</v>
      </c>
      <c r="B195" s="4">
        <v>45610</v>
      </c>
      <c r="C195" t="s">
        <v>1633</v>
      </c>
      <c r="D195" t="s">
        <v>34</v>
      </c>
      <c r="E195" t="s">
        <v>24</v>
      </c>
      <c r="F195" t="s">
        <v>23</v>
      </c>
      <c r="G195" t="s">
        <v>12</v>
      </c>
      <c r="H195">
        <v>15</v>
      </c>
      <c r="I195" s="3">
        <v>29442</v>
      </c>
      <c r="J195" s="2">
        <v>0</v>
      </c>
      <c r="K195" s="3">
        <v>441630</v>
      </c>
      <c r="L195" s="3">
        <v>356844.03</v>
      </c>
      <c r="M195" s="3">
        <v>84785.97</v>
      </c>
    </row>
    <row r="196" spans="1:13" x14ac:dyDescent="0.3">
      <c r="A196" t="s">
        <v>1632</v>
      </c>
      <c r="B196" s="4">
        <v>45460</v>
      </c>
      <c r="C196" t="s">
        <v>1631</v>
      </c>
      <c r="D196" t="s">
        <v>25</v>
      </c>
      <c r="E196" t="s">
        <v>24</v>
      </c>
      <c r="F196" t="s">
        <v>7</v>
      </c>
      <c r="G196" t="s">
        <v>12</v>
      </c>
      <c r="H196">
        <v>14</v>
      </c>
      <c r="I196" s="3">
        <v>27578</v>
      </c>
      <c r="J196" s="2">
        <v>0.05</v>
      </c>
      <c r="K196" s="3">
        <v>366787.4</v>
      </c>
      <c r="L196" s="3">
        <v>279181.32</v>
      </c>
      <c r="M196" s="3">
        <v>87606.080000000002</v>
      </c>
    </row>
    <row r="197" spans="1:13" x14ac:dyDescent="0.3">
      <c r="A197" t="s">
        <v>1630</v>
      </c>
      <c r="B197" s="4">
        <v>45741</v>
      </c>
      <c r="C197" t="s">
        <v>1629</v>
      </c>
      <c r="D197" t="s">
        <v>56</v>
      </c>
      <c r="E197" t="s">
        <v>24</v>
      </c>
      <c r="F197" t="s">
        <v>13</v>
      </c>
      <c r="G197" t="s">
        <v>16</v>
      </c>
      <c r="H197">
        <v>10</v>
      </c>
      <c r="I197" s="3">
        <v>32348</v>
      </c>
      <c r="J197" s="2">
        <v>0.15</v>
      </c>
      <c r="K197" s="3">
        <v>274958</v>
      </c>
      <c r="L197" s="3">
        <v>224819.12</v>
      </c>
      <c r="M197" s="3">
        <v>50138.879999999997</v>
      </c>
    </row>
    <row r="198" spans="1:13" x14ac:dyDescent="0.3">
      <c r="A198" t="s">
        <v>1628</v>
      </c>
      <c r="B198" s="4">
        <v>45826</v>
      </c>
      <c r="C198" t="s">
        <v>1627</v>
      </c>
      <c r="D198" t="s">
        <v>34</v>
      </c>
      <c r="E198" t="s">
        <v>24</v>
      </c>
      <c r="F198" t="s">
        <v>1</v>
      </c>
      <c r="G198" t="s">
        <v>20</v>
      </c>
      <c r="H198">
        <v>12</v>
      </c>
      <c r="I198" s="3">
        <v>1836</v>
      </c>
      <c r="J198" s="2">
        <v>0</v>
      </c>
      <c r="K198" s="3">
        <v>22032</v>
      </c>
      <c r="L198" s="3">
        <v>14387.44</v>
      </c>
      <c r="M198" s="3">
        <v>7644.56</v>
      </c>
    </row>
    <row r="199" spans="1:13" x14ac:dyDescent="0.3">
      <c r="A199" t="s">
        <v>1626</v>
      </c>
      <c r="B199" s="4">
        <v>46028</v>
      </c>
      <c r="C199" t="s">
        <v>1625</v>
      </c>
      <c r="D199" t="s">
        <v>25</v>
      </c>
      <c r="E199" t="s">
        <v>24</v>
      </c>
      <c r="F199" t="s">
        <v>1</v>
      </c>
      <c r="G199" t="s">
        <v>37</v>
      </c>
      <c r="H199">
        <v>7</v>
      </c>
      <c r="I199" s="3">
        <v>11197</v>
      </c>
      <c r="J199" s="2">
        <v>0.2</v>
      </c>
      <c r="K199" s="3">
        <v>62703.199999999997</v>
      </c>
      <c r="L199" s="3">
        <v>51339.9</v>
      </c>
      <c r="M199" s="3">
        <v>11363.3</v>
      </c>
    </row>
    <row r="200" spans="1:13" x14ac:dyDescent="0.3">
      <c r="A200" t="s">
        <v>1624</v>
      </c>
      <c r="B200" s="4">
        <v>46024</v>
      </c>
      <c r="C200" t="s">
        <v>1623</v>
      </c>
      <c r="D200" t="s">
        <v>3</v>
      </c>
      <c r="E200" t="s">
        <v>2</v>
      </c>
      <c r="F200" t="s">
        <v>23</v>
      </c>
      <c r="G200" t="s">
        <v>37</v>
      </c>
      <c r="H200">
        <v>2</v>
      </c>
      <c r="I200" s="3">
        <v>22208</v>
      </c>
      <c r="J200" s="2">
        <v>0.1</v>
      </c>
      <c r="K200" s="3">
        <v>39974.400000000001</v>
      </c>
      <c r="L200" s="3">
        <v>33662.160000000003</v>
      </c>
      <c r="M200" s="3">
        <v>6312.24</v>
      </c>
    </row>
    <row r="201" spans="1:13" x14ac:dyDescent="0.3">
      <c r="A201" t="s">
        <v>1622</v>
      </c>
      <c r="B201" s="4">
        <v>45907</v>
      </c>
      <c r="C201" t="s">
        <v>1621</v>
      </c>
      <c r="D201" t="s">
        <v>3</v>
      </c>
      <c r="E201" t="s">
        <v>2</v>
      </c>
      <c r="F201" t="s">
        <v>23</v>
      </c>
      <c r="G201" t="s">
        <v>20</v>
      </c>
      <c r="H201">
        <v>12</v>
      </c>
      <c r="I201" s="3">
        <v>6589</v>
      </c>
      <c r="J201" s="2">
        <v>0</v>
      </c>
      <c r="K201" s="3">
        <v>79068</v>
      </c>
      <c r="L201" s="3">
        <v>59923.65</v>
      </c>
      <c r="M201" s="3">
        <v>19144.349999999999</v>
      </c>
    </row>
    <row r="202" spans="1:13" x14ac:dyDescent="0.3">
      <c r="A202" t="s">
        <v>1620</v>
      </c>
      <c r="B202" s="4">
        <v>45950</v>
      </c>
      <c r="C202" t="s">
        <v>1619</v>
      </c>
      <c r="D202" t="s">
        <v>25</v>
      </c>
      <c r="E202" t="s">
        <v>24</v>
      </c>
      <c r="F202" t="s">
        <v>33</v>
      </c>
      <c r="G202" t="s">
        <v>37</v>
      </c>
      <c r="H202">
        <v>14</v>
      </c>
      <c r="I202" s="3">
        <v>70978</v>
      </c>
      <c r="J202" s="2">
        <v>0</v>
      </c>
      <c r="K202" s="3">
        <v>993692</v>
      </c>
      <c r="L202" s="3">
        <v>802803.88</v>
      </c>
      <c r="M202" s="3">
        <v>190888.12</v>
      </c>
    </row>
    <row r="203" spans="1:13" x14ac:dyDescent="0.3">
      <c r="A203" t="s">
        <v>1618</v>
      </c>
      <c r="B203" s="4">
        <v>45476</v>
      </c>
      <c r="C203" t="s">
        <v>1617</v>
      </c>
      <c r="D203" t="s">
        <v>3</v>
      </c>
      <c r="E203" t="s">
        <v>2</v>
      </c>
      <c r="F203" t="s">
        <v>23</v>
      </c>
      <c r="G203" t="s">
        <v>6</v>
      </c>
      <c r="H203">
        <v>4</v>
      </c>
      <c r="I203" s="3">
        <v>15676</v>
      </c>
      <c r="J203" s="2">
        <v>0</v>
      </c>
      <c r="K203" s="3">
        <v>62704</v>
      </c>
      <c r="L203" s="3">
        <v>32107.54</v>
      </c>
      <c r="M203" s="3">
        <v>30596.46</v>
      </c>
    </row>
    <row r="204" spans="1:13" x14ac:dyDescent="0.3">
      <c r="A204" t="s">
        <v>1616</v>
      </c>
      <c r="B204" s="4">
        <v>45474</v>
      </c>
      <c r="C204" t="s">
        <v>1615</v>
      </c>
      <c r="D204" t="s">
        <v>28</v>
      </c>
      <c r="E204" t="s">
        <v>8</v>
      </c>
      <c r="F204" t="s">
        <v>1</v>
      </c>
      <c r="G204" t="s">
        <v>0</v>
      </c>
      <c r="H204">
        <v>8</v>
      </c>
      <c r="I204" s="3">
        <v>14091</v>
      </c>
      <c r="J204" s="2">
        <v>0.05</v>
      </c>
      <c r="K204" s="3">
        <v>107091.6</v>
      </c>
      <c r="L204" s="3">
        <v>57213.86</v>
      </c>
      <c r="M204" s="3">
        <v>49877.74</v>
      </c>
    </row>
    <row r="205" spans="1:13" x14ac:dyDescent="0.3">
      <c r="A205" t="s">
        <v>1614</v>
      </c>
      <c r="B205" s="4">
        <v>45987</v>
      </c>
      <c r="C205" t="s">
        <v>1613</v>
      </c>
      <c r="D205" t="s">
        <v>56</v>
      </c>
      <c r="E205" t="s">
        <v>24</v>
      </c>
      <c r="F205" t="s">
        <v>7</v>
      </c>
      <c r="G205" t="s">
        <v>37</v>
      </c>
      <c r="H205">
        <v>7</v>
      </c>
      <c r="I205" s="3">
        <v>35230</v>
      </c>
      <c r="J205" s="2">
        <v>0</v>
      </c>
      <c r="K205" s="3">
        <v>246610</v>
      </c>
      <c r="L205" s="3">
        <v>153592.48000000001</v>
      </c>
      <c r="M205" s="3">
        <v>93017.52</v>
      </c>
    </row>
    <row r="206" spans="1:13" x14ac:dyDescent="0.3">
      <c r="A206" t="s">
        <v>1612</v>
      </c>
      <c r="B206" s="4">
        <v>46157</v>
      </c>
      <c r="C206" t="s">
        <v>1611</v>
      </c>
      <c r="D206" t="s">
        <v>28</v>
      </c>
      <c r="E206" t="s">
        <v>8</v>
      </c>
      <c r="F206" t="s">
        <v>7</v>
      </c>
      <c r="G206" t="s">
        <v>20</v>
      </c>
      <c r="H206">
        <v>15</v>
      </c>
      <c r="I206" s="3">
        <v>43051</v>
      </c>
      <c r="J206" s="2">
        <v>0.2</v>
      </c>
      <c r="K206" s="3">
        <v>516612</v>
      </c>
      <c r="L206" s="3">
        <v>349388.86</v>
      </c>
      <c r="M206" s="3">
        <v>167223.14000000001</v>
      </c>
    </row>
    <row r="207" spans="1:13" x14ac:dyDescent="0.3">
      <c r="A207" t="s">
        <v>1610</v>
      </c>
      <c r="B207" s="4">
        <v>45841</v>
      </c>
      <c r="C207" t="s">
        <v>1609</v>
      </c>
      <c r="D207" t="s">
        <v>42</v>
      </c>
      <c r="E207" t="s">
        <v>8</v>
      </c>
      <c r="F207" t="s">
        <v>23</v>
      </c>
      <c r="G207" t="s">
        <v>0</v>
      </c>
      <c r="H207">
        <v>13</v>
      </c>
      <c r="I207" s="3">
        <v>55122</v>
      </c>
      <c r="J207" s="2">
        <v>0</v>
      </c>
      <c r="K207" s="3">
        <v>716586</v>
      </c>
      <c r="L207" s="3">
        <v>467756.78</v>
      </c>
      <c r="M207" s="3">
        <v>248829.22</v>
      </c>
    </row>
    <row r="208" spans="1:13" x14ac:dyDescent="0.3">
      <c r="A208" t="s">
        <v>1608</v>
      </c>
      <c r="B208" s="4">
        <v>45728</v>
      </c>
      <c r="C208" t="s">
        <v>1607</v>
      </c>
      <c r="D208" t="s">
        <v>34</v>
      </c>
      <c r="E208" t="s">
        <v>24</v>
      </c>
      <c r="F208" t="s">
        <v>23</v>
      </c>
      <c r="G208" t="s">
        <v>20</v>
      </c>
      <c r="H208">
        <v>1</v>
      </c>
      <c r="I208" s="3">
        <v>71501</v>
      </c>
      <c r="J208" s="2">
        <v>0.2</v>
      </c>
      <c r="K208" s="3">
        <v>57200.800000000003</v>
      </c>
      <c r="L208" s="3">
        <v>32936.28</v>
      </c>
      <c r="M208" s="3">
        <v>24264.52</v>
      </c>
    </row>
    <row r="209" spans="1:13" x14ac:dyDescent="0.3">
      <c r="A209" t="s">
        <v>1606</v>
      </c>
      <c r="B209" s="4">
        <v>45518</v>
      </c>
      <c r="C209" t="s">
        <v>1605</v>
      </c>
      <c r="D209" t="s">
        <v>25</v>
      </c>
      <c r="E209" t="s">
        <v>24</v>
      </c>
      <c r="F209" t="s">
        <v>23</v>
      </c>
      <c r="G209" t="s">
        <v>37</v>
      </c>
      <c r="H209">
        <v>7</v>
      </c>
      <c r="I209" s="3">
        <v>1170</v>
      </c>
      <c r="J209" s="2">
        <v>0.2</v>
      </c>
      <c r="K209" s="3">
        <v>6552</v>
      </c>
      <c r="L209" s="3">
        <v>3739.31</v>
      </c>
      <c r="M209" s="3">
        <v>2812.69</v>
      </c>
    </row>
    <row r="210" spans="1:13" x14ac:dyDescent="0.3">
      <c r="A210" t="s">
        <v>1604</v>
      </c>
      <c r="B210" s="4">
        <v>46121</v>
      </c>
      <c r="C210" t="s">
        <v>1603</v>
      </c>
      <c r="D210" t="s">
        <v>56</v>
      </c>
      <c r="E210" t="s">
        <v>24</v>
      </c>
      <c r="F210" t="s">
        <v>13</v>
      </c>
      <c r="G210" t="s">
        <v>0</v>
      </c>
      <c r="H210">
        <v>2</v>
      </c>
      <c r="I210" s="3">
        <v>65419</v>
      </c>
      <c r="J210" s="2">
        <v>0.05</v>
      </c>
      <c r="K210" s="3">
        <v>124296.1</v>
      </c>
      <c r="L210" s="3">
        <v>104222.86</v>
      </c>
      <c r="M210" s="3">
        <v>20073.240000000002</v>
      </c>
    </row>
    <row r="211" spans="1:13" x14ac:dyDescent="0.3">
      <c r="A211" t="s">
        <v>1602</v>
      </c>
      <c r="B211" s="4">
        <v>45711</v>
      </c>
      <c r="C211" t="s">
        <v>1601</v>
      </c>
      <c r="D211" t="s">
        <v>28</v>
      </c>
      <c r="E211" t="s">
        <v>8</v>
      </c>
      <c r="F211" t="s">
        <v>1</v>
      </c>
      <c r="G211" t="s">
        <v>16</v>
      </c>
      <c r="H211">
        <v>10</v>
      </c>
      <c r="I211" s="3">
        <v>21826</v>
      </c>
      <c r="J211" s="2">
        <v>0.1</v>
      </c>
      <c r="K211" s="3">
        <v>196434</v>
      </c>
      <c r="L211" s="3">
        <v>154266.35999999999</v>
      </c>
      <c r="M211" s="3">
        <v>42167.64</v>
      </c>
    </row>
    <row r="212" spans="1:13" x14ac:dyDescent="0.3">
      <c r="A212" t="s">
        <v>1600</v>
      </c>
      <c r="B212" s="4">
        <v>45502</v>
      </c>
      <c r="C212" t="s">
        <v>1599</v>
      </c>
      <c r="D212" t="s">
        <v>3</v>
      </c>
      <c r="E212" t="s">
        <v>2</v>
      </c>
      <c r="F212" t="s">
        <v>13</v>
      </c>
      <c r="G212" t="s">
        <v>37</v>
      </c>
      <c r="H212">
        <v>11</v>
      </c>
      <c r="I212" s="3">
        <v>11601</v>
      </c>
      <c r="J212" s="2">
        <v>0.15</v>
      </c>
      <c r="K212" s="3">
        <v>108469.35</v>
      </c>
      <c r="L212" s="3">
        <v>84147.26</v>
      </c>
      <c r="M212" s="3">
        <v>24322.09</v>
      </c>
    </row>
    <row r="213" spans="1:13" x14ac:dyDescent="0.3">
      <c r="A213" t="s">
        <v>1598</v>
      </c>
      <c r="B213" s="4">
        <v>46148</v>
      </c>
      <c r="C213" t="s">
        <v>1597</v>
      </c>
      <c r="D213" t="s">
        <v>28</v>
      </c>
      <c r="E213" t="s">
        <v>8</v>
      </c>
      <c r="F213" t="s">
        <v>23</v>
      </c>
      <c r="G213" t="s">
        <v>16</v>
      </c>
      <c r="H213">
        <v>6</v>
      </c>
      <c r="I213" s="3">
        <v>13471</v>
      </c>
      <c r="J213" s="2">
        <v>0.15</v>
      </c>
      <c r="K213" s="3">
        <v>68702.100000000006</v>
      </c>
      <c r="L213" s="3">
        <v>56677.63</v>
      </c>
      <c r="M213" s="3">
        <v>12024.47</v>
      </c>
    </row>
    <row r="214" spans="1:13" x14ac:dyDescent="0.3">
      <c r="A214" t="s">
        <v>1596</v>
      </c>
      <c r="B214" s="4">
        <v>45802</v>
      </c>
      <c r="C214" t="s">
        <v>1595</v>
      </c>
      <c r="D214" t="s">
        <v>42</v>
      </c>
      <c r="E214" t="s">
        <v>8</v>
      </c>
      <c r="F214" t="s">
        <v>13</v>
      </c>
      <c r="G214" t="s">
        <v>20</v>
      </c>
      <c r="H214">
        <v>6</v>
      </c>
      <c r="I214" s="3">
        <v>28016</v>
      </c>
      <c r="J214" s="2">
        <v>0.1</v>
      </c>
      <c r="K214" s="3">
        <v>151286.39999999999</v>
      </c>
      <c r="L214" s="3">
        <v>89579.46</v>
      </c>
      <c r="M214" s="3">
        <v>61706.94</v>
      </c>
    </row>
    <row r="215" spans="1:13" x14ac:dyDescent="0.3">
      <c r="A215" t="s">
        <v>1594</v>
      </c>
      <c r="B215" s="4">
        <v>46029</v>
      </c>
      <c r="C215" t="s">
        <v>1593</v>
      </c>
      <c r="D215" t="s">
        <v>17</v>
      </c>
      <c r="E215" t="s">
        <v>2</v>
      </c>
      <c r="F215" t="s">
        <v>13</v>
      </c>
      <c r="G215" t="s">
        <v>6</v>
      </c>
      <c r="H215">
        <v>15</v>
      </c>
      <c r="I215" s="3">
        <v>31615</v>
      </c>
      <c r="J215" s="2">
        <v>0.15</v>
      </c>
      <c r="K215" s="3">
        <v>403091.25</v>
      </c>
      <c r="L215" s="3">
        <v>219446.18</v>
      </c>
      <c r="M215" s="3">
        <v>183645.07</v>
      </c>
    </row>
    <row r="216" spans="1:13" x14ac:dyDescent="0.3">
      <c r="A216" t="s">
        <v>1592</v>
      </c>
      <c r="B216" s="4">
        <v>46057</v>
      </c>
      <c r="C216" t="s">
        <v>1591</v>
      </c>
      <c r="D216" t="s">
        <v>9</v>
      </c>
      <c r="E216" t="s">
        <v>8</v>
      </c>
      <c r="F216" t="s">
        <v>1</v>
      </c>
      <c r="G216" t="s">
        <v>16</v>
      </c>
      <c r="H216">
        <v>1</v>
      </c>
      <c r="I216" s="3">
        <v>46676</v>
      </c>
      <c r="J216" s="2">
        <v>0.2</v>
      </c>
      <c r="K216" s="3">
        <v>37340.800000000003</v>
      </c>
      <c r="L216" s="3">
        <v>22939.61</v>
      </c>
      <c r="M216" s="3">
        <v>14401.19</v>
      </c>
    </row>
    <row r="217" spans="1:13" x14ac:dyDescent="0.3">
      <c r="A217" t="s">
        <v>1590</v>
      </c>
      <c r="B217" s="4">
        <v>46131</v>
      </c>
      <c r="C217" t="s">
        <v>1589</v>
      </c>
      <c r="D217" t="s">
        <v>9</v>
      </c>
      <c r="E217" t="s">
        <v>8</v>
      </c>
      <c r="F217" t="s">
        <v>7</v>
      </c>
      <c r="G217" t="s">
        <v>20</v>
      </c>
      <c r="H217">
        <v>12</v>
      </c>
      <c r="I217" s="3">
        <v>43380</v>
      </c>
      <c r="J217" s="2">
        <v>0.05</v>
      </c>
      <c r="K217" s="3">
        <v>494532</v>
      </c>
      <c r="L217" s="3">
        <v>327432.11</v>
      </c>
      <c r="M217" s="3">
        <v>167099.89000000001</v>
      </c>
    </row>
    <row r="218" spans="1:13" x14ac:dyDescent="0.3">
      <c r="A218" t="s">
        <v>1588</v>
      </c>
      <c r="B218" s="4">
        <v>45913</v>
      </c>
      <c r="C218" t="s">
        <v>1587</v>
      </c>
      <c r="D218" t="s">
        <v>3</v>
      </c>
      <c r="E218" t="s">
        <v>2</v>
      </c>
      <c r="F218" t="s">
        <v>7</v>
      </c>
      <c r="G218" t="s">
        <v>0</v>
      </c>
      <c r="H218">
        <v>6</v>
      </c>
      <c r="I218" s="3">
        <v>61557</v>
      </c>
      <c r="J218" s="2">
        <v>0.05</v>
      </c>
      <c r="K218" s="3">
        <v>350874.9</v>
      </c>
      <c r="L218" s="3">
        <v>237786.58</v>
      </c>
      <c r="M218" s="3">
        <v>113088.32000000001</v>
      </c>
    </row>
    <row r="219" spans="1:13" x14ac:dyDescent="0.3">
      <c r="A219" t="s">
        <v>1586</v>
      </c>
      <c r="B219" s="4">
        <v>46151</v>
      </c>
      <c r="C219" t="s">
        <v>1585</v>
      </c>
      <c r="D219" t="s">
        <v>9</v>
      </c>
      <c r="E219" t="s">
        <v>8</v>
      </c>
      <c r="F219" t="s">
        <v>13</v>
      </c>
      <c r="G219" t="s">
        <v>20</v>
      </c>
      <c r="H219">
        <v>3</v>
      </c>
      <c r="I219" s="3">
        <v>21445</v>
      </c>
      <c r="J219" s="2">
        <v>0.05</v>
      </c>
      <c r="K219" s="3">
        <v>61118.25</v>
      </c>
      <c r="L219" s="3">
        <v>46028.52</v>
      </c>
      <c r="M219" s="3">
        <v>15089.73</v>
      </c>
    </row>
    <row r="220" spans="1:13" x14ac:dyDescent="0.3">
      <c r="A220" t="s">
        <v>1584</v>
      </c>
      <c r="B220" s="4">
        <v>46145</v>
      </c>
      <c r="C220" t="s">
        <v>1583</v>
      </c>
      <c r="D220" t="s">
        <v>25</v>
      </c>
      <c r="E220" t="s">
        <v>24</v>
      </c>
      <c r="F220" t="s">
        <v>23</v>
      </c>
      <c r="G220" t="s">
        <v>12</v>
      </c>
      <c r="H220">
        <v>4</v>
      </c>
      <c r="I220" s="3">
        <v>44001</v>
      </c>
      <c r="J220" s="2">
        <v>0.05</v>
      </c>
      <c r="K220" s="3">
        <v>167203.79999999999</v>
      </c>
      <c r="L220" s="3">
        <v>98740.68</v>
      </c>
      <c r="M220" s="3">
        <v>68463.12</v>
      </c>
    </row>
    <row r="221" spans="1:13" x14ac:dyDescent="0.3">
      <c r="A221" t="s">
        <v>1582</v>
      </c>
      <c r="B221" s="4">
        <v>46075</v>
      </c>
      <c r="C221" t="s">
        <v>1581</v>
      </c>
      <c r="D221" t="s">
        <v>42</v>
      </c>
      <c r="E221" t="s">
        <v>8</v>
      </c>
      <c r="F221" t="s">
        <v>7</v>
      </c>
      <c r="G221" t="s">
        <v>6</v>
      </c>
      <c r="H221">
        <v>4</v>
      </c>
      <c r="I221" s="3">
        <v>51362</v>
      </c>
      <c r="J221" s="2">
        <v>0.05</v>
      </c>
      <c r="K221" s="3">
        <v>195175.6</v>
      </c>
      <c r="L221" s="3">
        <v>164794.85</v>
      </c>
      <c r="M221" s="3">
        <v>30380.75</v>
      </c>
    </row>
    <row r="222" spans="1:13" x14ac:dyDescent="0.3">
      <c r="A222" t="s">
        <v>1580</v>
      </c>
      <c r="B222" s="4">
        <v>46037</v>
      </c>
      <c r="C222" t="s">
        <v>1579</v>
      </c>
      <c r="D222" t="s">
        <v>56</v>
      </c>
      <c r="E222" t="s">
        <v>24</v>
      </c>
      <c r="F222" t="s">
        <v>23</v>
      </c>
      <c r="G222" t="s">
        <v>0</v>
      </c>
      <c r="H222">
        <v>5</v>
      </c>
      <c r="I222" s="3">
        <v>26715</v>
      </c>
      <c r="J222" s="2">
        <v>0</v>
      </c>
      <c r="K222" s="3">
        <v>133575</v>
      </c>
      <c r="L222" s="3">
        <v>96613.9</v>
      </c>
      <c r="M222" s="3">
        <v>36961.1</v>
      </c>
    </row>
    <row r="223" spans="1:13" x14ac:dyDescent="0.3">
      <c r="A223" t="s">
        <v>1578</v>
      </c>
      <c r="B223" s="4">
        <v>45817</v>
      </c>
      <c r="C223" t="s">
        <v>1577</v>
      </c>
      <c r="D223" t="s">
        <v>17</v>
      </c>
      <c r="E223" t="s">
        <v>2</v>
      </c>
      <c r="F223" t="s">
        <v>33</v>
      </c>
      <c r="G223" t="s">
        <v>6</v>
      </c>
      <c r="H223">
        <v>8</v>
      </c>
      <c r="I223" s="3">
        <v>5447</v>
      </c>
      <c r="J223" s="2">
        <v>0</v>
      </c>
      <c r="K223" s="3">
        <v>43576</v>
      </c>
      <c r="L223" s="3">
        <v>27873.71</v>
      </c>
      <c r="M223" s="3">
        <v>15702.29</v>
      </c>
    </row>
    <row r="224" spans="1:13" x14ac:dyDescent="0.3">
      <c r="A224" t="s">
        <v>1576</v>
      </c>
      <c r="B224" s="4">
        <v>46157</v>
      </c>
      <c r="C224" t="s">
        <v>1575</v>
      </c>
      <c r="D224" t="s">
        <v>53</v>
      </c>
      <c r="E224" t="s">
        <v>2</v>
      </c>
      <c r="F224" t="s">
        <v>7</v>
      </c>
      <c r="G224" t="s">
        <v>20</v>
      </c>
      <c r="H224">
        <v>11</v>
      </c>
      <c r="I224" s="3">
        <v>39825</v>
      </c>
      <c r="J224" s="2">
        <v>0.15</v>
      </c>
      <c r="K224" s="3">
        <v>372363.75</v>
      </c>
      <c r="L224" s="3">
        <v>189064.36</v>
      </c>
      <c r="M224" s="3">
        <v>183299.39</v>
      </c>
    </row>
    <row r="225" spans="1:13" x14ac:dyDescent="0.3">
      <c r="A225" t="s">
        <v>1574</v>
      </c>
      <c r="B225" s="4">
        <v>45905</v>
      </c>
      <c r="C225" t="s">
        <v>1573</v>
      </c>
      <c r="D225" t="s">
        <v>28</v>
      </c>
      <c r="E225" t="s">
        <v>8</v>
      </c>
      <c r="F225" t="s">
        <v>13</v>
      </c>
      <c r="G225" t="s">
        <v>6</v>
      </c>
      <c r="H225">
        <v>1</v>
      </c>
      <c r="I225" s="3">
        <v>32756</v>
      </c>
      <c r="J225" s="2">
        <v>0.15</v>
      </c>
      <c r="K225" s="3">
        <v>27842.6</v>
      </c>
      <c r="L225" s="3">
        <v>20754.060000000001</v>
      </c>
      <c r="M225" s="3">
        <v>7088.54</v>
      </c>
    </row>
    <row r="226" spans="1:13" x14ac:dyDescent="0.3">
      <c r="A226" t="s">
        <v>1572</v>
      </c>
      <c r="B226" s="4">
        <v>46042</v>
      </c>
      <c r="C226" t="s">
        <v>1571</v>
      </c>
      <c r="D226" t="s">
        <v>28</v>
      </c>
      <c r="E226" t="s">
        <v>8</v>
      </c>
      <c r="F226" t="s">
        <v>1</v>
      </c>
      <c r="G226" t="s">
        <v>6</v>
      </c>
      <c r="H226">
        <v>14</v>
      </c>
      <c r="I226" s="3">
        <v>30958</v>
      </c>
      <c r="J226" s="2">
        <v>0.2</v>
      </c>
      <c r="K226" s="3">
        <v>346729.6</v>
      </c>
      <c r="L226" s="3">
        <v>276813.45</v>
      </c>
      <c r="M226" s="3">
        <v>69916.149999999994</v>
      </c>
    </row>
    <row r="227" spans="1:13" x14ac:dyDescent="0.3">
      <c r="A227" t="s">
        <v>1570</v>
      </c>
      <c r="B227" s="4">
        <v>46018</v>
      </c>
      <c r="C227" t="s">
        <v>1569</v>
      </c>
      <c r="D227" t="s">
        <v>17</v>
      </c>
      <c r="E227" t="s">
        <v>2</v>
      </c>
      <c r="F227" t="s">
        <v>23</v>
      </c>
      <c r="G227" t="s">
        <v>16</v>
      </c>
      <c r="H227">
        <v>7</v>
      </c>
      <c r="I227" s="3">
        <v>42027</v>
      </c>
      <c r="J227" s="2">
        <v>0.1</v>
      </c>
      <c r="K227" s="3">
        <v>264770.09999999998</v>
      </c>
      <c r="L227" s="3">
        <v>190607.18</v>
      </c>
      <c r="M227" s="3">
        <v>74162.92</v>
      </c>
    </row>
    <row r="228" spans="1:13" x14ac:dyDescent="0.3">
      <c r="A228" t="s">
        <v>1568</v>
      </c>
      <c r="B228" s="4">
        <v>45808</v>
      </c>
      <c r="C228" t="s">
        <v>1567</v>
      </c>
      <c r="D228" t="s">
        <v>17</v>
      </c>
      <c r="E228" t="s">
        <v>2</v>
      </c>
      <c r="F228" t="s">
        <v>33</v>
      </c>
      <c r="G228" t="s">
        <v>16</v>
      </c>
      <c r="H228">
        <v>12</v>
      </c>
      <c r="I228" s="3">
        <v>21507</v>
      </c>
      <c r="J228" s="2">
        <v>0.1</v>
      </c>
      <c r="K228" s="3">
        <v>232275.6</v>
      </c>
      <c r="L228" s="3">
        <v>185194.38</v>
      </c>
      <c r="M228" s="3">
        <v>47081.22</v>
      </c>
    </row>
    <row r="229" spans="1:13" x14ac:dyDescent="0.3">
      <c r="A229" t="s">
        <v>1566</v>
      </c>
      <c r="B229" s="4">
        <v>46120</v>
      </c>
      <c r="C229" t="s">
        <v>1565</v>
      </c>
      <c r="D229" t="s">
        <v>53</v>
      </c>
      <c r="E229" t="s">
        <v>2</v>
      </c>
      <c r="F229" t="s">
        <v>1</v>
      </c>
      <c r="G229" t="s">
        <v>6</v>
      </c>
      <c r="H229">
        <v>14</v>
      </c>
      <c r="I229" s="3">
        <v>54653</v>
      </c>
      <c r="J229" s="2">
        <v>0.2</v>
      </c>
      <c r="K229" s="3">
        <v>612113.6</v>
      </c>
      <c r="L229" s="3">
        <v>450721.13</v>
      </c>
      <c r="M229" s="3">
        <v>161392.47</v>
      </c>
    </row>
    <row r="230" spans="1:13" x14ac:dyDescent="0.3">
      <c r="A230" t="s">
        <v>1564</v>
      </c>
      <c r="B230" s="4">
        <v>45595</v>
      </c>
      <c r="C230" t="s">
        <v>1563</v>
      </c>
      <c r="D230" t="s">
        <v>25</v>
      </c>
      <c r="E230" t="s">
        <v>24</v>
      </c>
      <c r="F230" t="s">
        <v>13</v>
      </c>
      <c r="G230" t="s">
        <v>12</v>
      </c>
      <c r="H230">
        <v>7</v>
      </c>
      <c r="I230" s="3">
        <v>65204</v>
      </c>
      <c r="J230" s="2">
        <v>0</v>
      </c>
      <c r="K230" s="3">
        <v>456428</v>
      </c>
      <c r="L230" s="3">
        <v>234307.74</v>
      </c>
      <c r="M230" s="3">
        <v>222120.26</v>
      </c>
    </row>
    <row r="231" spans="1:13" x14ac:dyDescent="0.3">
      <c r="A231" t="s">
        <v>1562</v>
      </c>
      <c r="B231" s="4">
        <v>45781</v>
      </c>
      <c r="C231" t="s">
        <v>1561</v>
      </c>
      <c r="D231" t="s">
        <v>53</v>
      </c>
      <c r="E231" t="s">
        <v>2</v>
      </c>
      <c r="F231" t="s">
        <v>13</v>
      </c>
      <c r="G231" t="s">
        <v>16</v>
      </c>
      <c r="H231">
        <v>13</v>
      </c>
      <c r="I231" s="3">
        <v>27189</v>
      </c>
      <c r="J231" s="2">
        <v>0.2</v>
      </c>
      <c r="K231" s="3">
        <v>282765.59999999998</v>
      </c>
      <c r="L231" s="3">
        <v>175844.18</v>
      </c>
      <c r="M231" s="3">
        <v>106921.42</v>
      </c>
    </row>
    <row r="232" spans="1:13" x14ac:dyDescent="0.3">
      <c r="A232" t="s">
        <v>1560</v>
      </c>
      <c r="B232" s="4">
        <v>46126</v>
      </c>
      <c r="C232" t="s">
        <v>1559</v>
      </c>
      <c r="D232" t="s">
        <v>42</v>
      </c>
      <c r="E232" t="s">
        <v>8</v>
      </c>
      <c r="F232" t="s">
        <v>7</v>
      </c>
      <c r="G232" t="s">
        <v>20</v>
      </c>
      <c r="H232">
        <v>12</v>
      </c>
      <c r="I232" s="3">
        <v>63355</v>
      </c>
      <c r="J232" s="2">
        <v>0.2</v>
      </c>
      <c r="K232" s="3">
        <v>608208</v>
      </c>
      <c r="L232" s="3">
        <v>307532.63</v>
      </c>
      <c r="M232" s="3">
        <v>300675.37</v>
      </c>
    </row>
    <row r="233" spans="1:13" x14ac:dyDescent="0.3">
      <c r="A233" t="s">
        <v>1558</v>
      </c>
      <c r="B233" s="4">
        <v>45950</v>
      </c>
      <c r="C233" t="s">
        <v>1557</v>
      </c>
      <c r="D233" t="s">
        <v>56</v>
      </c>
      <c r="E233" t="s">
        <v>24</v>
      </c>
      <c r="F233" t="s">
        <v>1</v>
      </c>
      <c r="G233" t="s">
        <v>16</v>
      </c>
      <c r="H233">
        <v>12</v>
      </c>
      <c r="I233" s="3">
        <v>60888</v>
      </c>
      <c r="J233" s="2">
        <v>0.05</v>
      </c>
      <c r="K233" s="3">
        <v>694123.2</v>
      </c>
      <c r="L233" s="3">
        <v>587642.81999999995</v>
      </c>
      <c r="M233" s="3">
        <v>106480.38</v>
      </c>
    </row>
    <row r="234" spans="1:13" x14ac:dyDescent="0.3">
      <c r="A234" t="s">
        <v>1556</v>
      </c>
      <c r="B234" s="4">
        <v>45651</v>
      </c>
      <c r="C234" t="s">
        <v>1555</v>
      </c>
      <c r="D234" t="s">
        <v>42</v>
      </c>
      <c r="E234" t="s">
        <v>8</v>
      </c>
      <c r="F234" t="s">
        <v>33</v>
      </c>
      <c r="G234" t="s">
        <v>16</v>
      </c>
      <c r="H234">
        <v>12</v>
      </c>
      <c r="I234" s="3">
        <v>47592</v>
      </c>
      <c r="J234" s="2">
        <v>0</v>
      </c>
      <c r="K234" s="3">
        <v>571104</v>
      </c>
      <c r="L234" s="3">
        <v>336014.86</v>
      </c>
      <c r="M234" s="3">
        <v>235089.14</v>
      </c>
    </row>
    <row r="235" spans="1:13" x14ac:dyDescent="0.3">
      <c r="A235" t="s">
        <v>1554</v>
      </c>
      <c r="B235" s="4">
        <v>45588</v>
      </c>
      <c r="C235" t="s">
        <v>1553</v>
      </c>
      <c r="D235" t="s">
        <v>3</v>
      </c>
      <c r="E235" t="s">
        <v>2</v>
      </c>
      <c r="F235" t="s">
        <v>7</v>
      </c>
      <c r="G235" t="s">
        <v>20</v>
      </c>
      <c r="H235">
        <v>2</v>
      </c>
      <c r="I235" s="3">
        <v>55864</v>
      </c>
      <c r="J235" s="2">
        <v>0.15</v>
      </c>
      <c r="K235" s="3">
        <v>94968.8</v>
      </c>
      <c r="L235" s="3">
        <v>68377.31</v>
      </c>
      <c r="M235" s="3">
        <v>26591.49</v>
      </c>
    </row>
    <row r="236" spans="1:13" x14ac:dyDescent="0.3">
      <c r="A236" t="s">
        <v>1552</v>
      </c>
      <c r="B236" s="4">
        <v>45652</v>
      </c>
      <c r="C236" t="s">
        <v>1551</v>
      </c>
      <c r="D236" t="s">
        <v>25</v>
      </c>
      <c r="E236" t="s">
        <v>24</v>
      </c>
      <c r="F236" t="s">
        <v>13</v>
      </c>
      <c r="G236" t="s">
        <v>12</v>
      </c>
      <c r="H236">
        <v>4</v>
      </c>
      <c r="I236" s="3">
        <v>40779</v>
      </c>
      <c r="J236" s="2">
        <v>0.15</v>
      </c>
      <c r="K236" s="3">
        <v>138648.6</v>
      </c>
      <c r="L236" s="3">
        <v>114936.36</v>
      </c>
      <c r="M236" s="3">
        <v>23712.240000000002</v>
      </c>
    </row>
    <row r="237" spans="1:13" x14ac:dyDescent="0.3">
      <c r="A237" t="s">
        <v>1550</v>
      </c>
      <c r="B237" s="4">
        <v>45741</v>
      </c>
      <c r="C237" t="s">
        <v>1549</v>
      </c>
      <c r="D237" t="s">
        <v>56</v>
      </c>
      <c r="E237" t="s">
        <v>24</v>
      </c>
      <c r="F237" t="s">
        <v>23</v>
      </c>
      <c r="G237" t="s">
        <v>6</v>
      </c>
      <c r="H237">
        <v>4</v>
      </c>
      <c r="I237" s="3">
        <v>22565</v>
      </c>
      <c r="J237" s="2">
        <v>0.05</v>
      </c>
      <c r="K237" s="3">
        <v>85747</v>
      </c>
      <c r="L237" s="3">
        <v>70766.710000000006</v>
      </c>
      <c r="M237" s="3">
        <v>14980.29</v>
      </c>
    </row>
    <row r="238" spans="1:13" x14ac:dyDescent="0.3">
      <c r="A238" t="s">
        <v>1548</v>
      </c>
      <c r="B238" s="4">
        <v>45938</v>
      </c>
      <c r="C238" t="s">
        <v>1547</v>
      </c>
      <c r="D238" t="s">
        <v>17</v>
      </c>
      <c r="E238" t="s">
        <v>2</v>
      </c>
      <c r="F238" t="s">
        <v>1</v>
      </c>
      <c r="G238" t="s">
        <v>0</v>
      </c>
      <c r="H238">
        <v>11</v>
      </c>
      <c r="I238" s="3">
        <v>74669</v>
      </c>
      <c r="J238" s="2">
        <v>0.05</v>
      </c>
      <c r="K238" s="3">
        <v>780291.05</v>
      </c>
      <c r="L238" s="3">
        <v>612625.05000000005</v>
      </c>
      <c r="M238" s="3">
        <v>167666</v>
      </c>
    </row>
    <row r="239" spans="1:13" x14ac:dyDescent="0.3">
      <c r="A239" t="s">
        <v>1546</v>
      </c>
      <c r="B239" s="4">
        <v>45513</v>
      </c>
      <c r="C239" t="s">
        <v>1545</v>
      </c>
      <c r="D239" t="s">
        <v>9</v>
      </c>
      <c r="E239" t="s">
        <v>8</v>
      </c>
      <c r="F239" t="s">
        <v>13</v>
      </c>
      <c r="G239" t="s">
        <v>6</v>
      </c>
      <c r="H239">
        <v>14</v>
      </c>
      <c r="I239" s="3">
        <v>55170</v>
      </c>
      <c r="J239" s="2">
        <v>0.15</v>
      </c>
      <c r="K239" s="3">
        <v>656523</v>
      </c>
      <c r="L239" s="3">
        <v>557157.30000000005</v>
      </c>
      <c r="M239" s="3">
        <v>99365.7</v>
      </c>
    </row>
    <row r="240" spans="1:13" x14ac:dyDescent="0.3">
      <c r="A240" t="s">
        <v>1544</v>
      </c>
      <c r="B240" s="4">
        <v>45782</v>
      </c>
      <c r="C240" t="s">
        <v>1543</v>
      </c>
      <c r="D240" t="s">
        <v>17</v>
      </c>
      <c r="E240" t="s">
        <v>2</v>
      </c>
      <c r="F240" t="s">
        <v>7</v>
      </c>
      <c r="G240" t="s">
        <v>16</v>
      </c>
      <c r="H240">
        <v>6</v>
      </c>
      <c r="I240" s="3">
        <v>31206</v>
      </c>
      <c r="J240" s="2">
        <v>0.1</v>
      </c>
      <c r="K240" s="3">
        <v>168512.4</v>
      </c>
      <c r="L240" s="3">
        <v>125789.47</v>
      </c>
      <c r="M240" s="3">
        <v>42722.93</v>
      </c>
    </row>
    <row r="241" spans="1:13" x14ac:dyDescent="0.3">
      <c r="A241" t="s">
        <v>1542</v>
      </c>
      <c r="B241" s="4">
        <v>45526</v>
      </c>
      <c r="C241" t="s">
        <v>1541</v>
      </c>
      <c r="D241" t="s">
        <v>42</v>
      </c>
      <c r="E241" t="s">
        <v>8</v>
      </c>
      <c r="F241" t="s">
        <v>7</v>
      </c>
      <c r="G241" t="s">
        <v>0</v>
      </c>
      <c r="H241">
        <v>8</v>
      </c>
      <c r="I241" s="3">
        <v>1353</v>
      </c>
      <c r="J241" s="2">
        <v>0.1</v>
      </c>
      <c r="K241" s="3">
        <v>9741.6</v>
      </c>
      <c r="L241" s="3">
        <v>6091.35</v>
      </c>
      <c r="M241" s="3">
        <v>3650.25</v>
      </c>
    </row>
    <row r="242" spans="1:13" x14ac:dyDescent="0.3">
      <c r="A242" t="s">
        <v>1540</v>
      </c>
      <c r="B242" s="4">
        <v>45584</v>
      </c>
      <c r="C242" t="s">
        <v>1539</v>
      </c>
      <c r="D242" t="s">
        <v>56</v>
      </c>
      <c r="E242" t="s">
        <v>24</v>
      </c>
      <c r="F242" t="s">
        <v>7</v>
      </c>
      <c r="G242" t="s">
        <v>16</v>
      </c>
      <c r="H242">
        <v>7</v>
      </c>
      <c r="I242" s="3">
        <v>12196</v>
      </c>
      <c r="J242" s="2">
        <v>0.1</v>
      </c>
      <c r="K242" s="3">
        <v>76834.8</v>
      </c>
      <c r="L242" s="3">
        <v>42525.27</v>
      </c>
      <c r="M242" s="3">
        <v>34309.53</v>
      </c>
    </row>
    <row r="243" spans="1:13" x14ac:dyDescent="0.3">
      <c r="A243" t="s">
        <v>1538</v>
      </c>
      <c r="B243" s="4">
        <v>45782</v>
      </c>
      <c r="C243" t="s">
        <v>1537</v>
      </c>
      <c r="D243" t="s">
        <v>3</v>
      </c>
      <c r="E243" t="s">
        <v>2</v>
      </c>
      <c r="F243" t="s">
        <v>7</v>
      </c>
      <c r="G243" t="s">
        <v>6</v>
      </c>
      <c r="H243">
        <v>14</v>
      </c>
      <c r="I243" s="3">
        <v>43559</v>
      </c>
      <c r="J243" s="2">
        <v>0.05</v>
      </c>
      <c r="K243" s="3">
        <v>579334.69999999995</v>
      </c>
      <c r="L243" s="3">
        <v>397265.29</v>
      </c>
      <c r="M243" s="3">
        <v>182069.41</v>
      </c>
    </row>
    <row r="244" spans="1:13" x14ac:dyDescent="0.3">
      <c r="A244" t="s">
        <v>1536</v>
      </c>
      <c r="B244" s="4">
        <v>45438</v>
      </c>
      <c r="C244" t="s">
        <v>1535</v>
      </c>
      <c r="D244" t="s">
        <v>42</v>
      </c>
      <c r="E244" t="s">
        <v>8</v>
      </c>
      <c r="F244" t="s">
        <v>7</v>
      </c>
      <c r="G244" t="s">
        <v>0</v>
      </c>
      <c r="H244">
        <v>11</v>
      </c>
      <c r="I244" s="3">
        <v>2504</v>
      </c>
      <c r="J244" s="2">
        <v>0.05</v>
      </c>
      <c r="K244" s="3">
        <v>26166.799999999999</v>
      </c>
      <c r="L244" s="3">
        <v>21800.06</v>
      </c>
      <c r="M244" s="3">
        <v>4366.74</v>
      </c>
    </row>
    <row r="245" spans="1:13" x14ac:dyDescent="0.3">
      <c r="A245" t="s">
        <v>1534</v>
      </c>
      <c r="B245" s="4">
        <v>45603</v>
      </c>
      <c r="C245" t="s">
        <v>1533</v>
      </c>
      <c r="D245" t="s">
        <v>42</v>
      </c>
      <c r="E245" t="s">
        <v>8</v>
      </c>
      <c r="F245" t="s">
        <v>33</v>
      </c>
      <c r="G245" t="s">
        <v>0</v>
      </c>
      <c r="H245">
        <v>10</v>
      </c>
      <c r="I245" s="3">
        <v>19708</v>
      </c>
      <c r="J245" s="2">
        <v>0.05</v>
      </c>
      <c r="K245" s="3">
        <v>187226</v>
      </c>
      <c r="L245" s="3">
        <v>105779.36</v>
      </c>
      <c r="M245" s="3">
        <v>81446.64</v>
      </c>
    </row>
    <row r="246" spans="1:13" x14ac:dyDescent="0.3">
      <c r="A246" t="s">
        <v>1532</v>
      </c>
      <c r="B246" s="4">
        <v>45631</v>
      </c>
      <c r="C246" t="s">
        <v>1531</v>
      </c>
      <c r="D246" t="s">
        <v>3</v>
      </c>
      <c r="E246" t="s">
        <v>2</v>
      </c>
      <c r="F246" t="s">
        <v>13</v>
      </c>
      <c r="G246" t="s">
        <v>37</v>
      </c>
      <c r="H246">
        <v>15</v>
      </c>
      <c r="I246" s="3">
        <v>53754</v>
      </c>
      <c r="J246" s="2">
        <v>0.2</v>
      </c>
      <c r="K246" s="3">
        <v>645048</v>
      </c>
      <c r="L246" s="3">
        <v>360433.13</v>
      </c>
      <c r="M246" s="3">
        <v>284614.87</v>
      </c>
    </row>
    <row r="247" spans="1:13" x14ac:dyDescent="0.3">
      <c r="A247" t="s">
        <v>1530</v>
      </c>
      <c r="B247" s="4">
        <v>46066</v>
      </c>
      <c r="C247" t="s">
        <v>1529</v>
      </c>
      <c r="D247" t="s">
        <v>9</v>
      </c>
      <c r="E247" t="s">
        <v>8</v>
      </c>
      <c r="F247" t="s">
        <v>1</v>
      </c>
      <c r="G247" t="s">
        <v>20</v>
      </c>
      <c r="H247">
        <v>13</v>
      </c>
      <c r="I247" s="3">
        <v>39934</v>
      </c>
      <c r="J247" s="2">
        <v>0.05</v>
      </c>
      <c r="K247" s="3">
        <v>493184.9</v>
      </c>
      <c r="L247" s="3">
        <v>331943.8</v>
      </c>
      <c r="M247" s="3">
        <v>161241.1</v>
      </c>
    </row>
    <row r="248" spans="1:13" x14ac:dyDescent="0.3">
      <c r="A248" t="s">
        <v>1528</v>
      </c>
      <c r="B248" s="4">
        <v>45577</v>
      </c>
      <c r="C248" t="s">
        <v>1527</v>
      </c>
      <c r="D248" t="s">
        <v>53</v>
      </c>
      <c r="E248" t="s">
        <v>2</v>
      </c>
      <c r="F248" t="s">
        <v>7</v>
      </c>
      <c r="G248" t="s">
        <v>16</v>
      </c>
      <c r="H248">
        <v>14</v>
      </c>
      <c r="I248" s="3">
        <v>58486</v>
      </c>
      <c r="J248" s="2">
        <v>0</v>
      </c>
      <c r="K248" s="3">
        <v>818804</v>
      </c>
      <c r="L248" s="3">
        <v>568472.96</v>
      </c>
      <c r="M248" s="3">
        <v>250331.04</v>
      </c>
    </row>
    <row r="249" spans="1:13" x14ac:dyDescent="0.3">
      <c r="A249" t="s">
        <v>1526</v>
      </c>
      <c r="B249" s="4">
        <v>45818</v>
      </c>
      <c r="C249" t="s">
        <v>1525</v>
      </c>
      <c r="D249" t="s">
        <v>3</v>
      </c>
      <c r="E249" t="s">
        <v>2</v>
      </c>
      <c r="F249" t="s">
        <v>33</v>
      </c>
      <c r="G249" t="s">
        <v>12</v>
      </c>
      <c r="H249">
        <v>8</v>
      </c>
      <c r="I249" s="3">
        <v>65628</v>
      </c>
      <c r="J249" s="2">
        <v>0.2</v>
      </c>
      <c r="K249" s="3">
        <v>420019.20000000001</v>
      </c>
      <c r="L249" s="3">
        <v>218602.8</v>
      </c>
      <c r="M249" s="3">
        <v>201416.4</v>
      </c>
    </row>
    <row r="250" spans="1:13" x14ac:dyDescent="0.3">
      <c r="A250" t="s">
        <v>1524</v>
      </c>
      <c r="B250" s="4">
        <v>45741</v>
      </c>
      <c r="C250" t="s">
        <v>1523</v>
      </c>
      <c r="D250" t="s">
        <v>28</v>
      </c>
      <c r="E250" t="s">
        <v>8</v>
      </c>
      <c r="F250" t="s">
        <v>23</v>
      </c>
      <c r="G250" t="s">
        <v>12</v>
      </c>
      <c r="H250">
        <v>4</v>
      </c>
      <c r="I250" s="3">
        <v>66296</v>
      </c>
      <c r="J250" s="2">
        <v>0.05</v>
      </c>
      <c r="K250" s="3">
        <v>251924.8</v>
      </c>
      <c r="L250" s="3">
        <v>173535.87</v>
      </c>
      <c r="M250" s="3">
        <v>78388.929999999993</v>
      </c>
    </row>
    <row r="251" spans="1:13" x14ac:dyDescent="0.3">
      <c r="A251" t="s">
        <v>1522</v>
      </c>
      <c r="B251" s="4">
        <v>45941</v>
      </c>
      <c r="C251" t="s">
        <v>1521</v>
      </c>
      <c r="D251" t="s">
        <v>56</v>
      </c>
      <c r="E251" t="s">
        <v>24</v>
      </c>
      <c r="F251" t="s">
        <v>33</v>
      </c>
      <c r="G251" t="s">
        <v>0</v>
      </c>
      <c r="H251">
        <v>12</v>
      </c>
      <c r="I251" s="3">
        <v>74737</v>
      </c>
      <c r="J251" s="2">
        <v>0.15</v>
      </c>
      <c r="K251" s="3">
        <v>762317.4</v>
      </c>
      <c r="L251" s="3">
        <v>558668.26</v>
      </c>
      <c r="M251" s="3">
        <v>203649.14</v>
      </c>
    </row>
    <row r="252" spans="1:13" x14ac:dyDescent="0.3">
      <c r="A252" t="s">
        <v>1520</v>
      </c>
      <c r="B252" s="4">
        <v>45654</v>
      </c>
      <c r="C252" t="s">
        <v>1519</v>
      </c>
      <c r="D252" t="s">
        <v>56</v>
      </c>
      <c r="E252" t="s">
        <v>24</v>
      </c>
      <c r="F252" t="s">
        <v>23</v>
      </c>
      <c r="G252" t="s">
        <v>37</v>
      </c>
      <c r="H252">
        <v>11</v>
      </c>
      <c r="I252" s="3">
        <v>10882</v>
      </c>
      <c r="J252" s="2">
        <v>0.05</v>
      </c>
      <c r="K252" s="3">
        <v>113716.9</v>
      </c>
      <c r="L252" s="3">
        <v>82213.259999999995</v>
      </c>
      <c r="M252" s="3">
        <v>31503.64</v>
      </c>
    </row>
    <row r="253" spans="1:13" x14ac:dyDescent="0.3">
      <c r="A253" t="s">
        <v>1518</v>
      </c>
      <c r="B253" s="4">
        <v>46012</v>
      </c>
      <c r="C253" t="s">
        <v>1517</v>
      </c>
      <c r="D253" t="s">
        <v>42</v>
      </c>
      <c r="E253" t="s">
        <v>8</v>
      </c>
      <c r="F253" t="s">
        <v>33</v>
      </c>
      <c r="G253" t="s">
        <v>12</v>
      </c>
      <c r="H253">
        <v>11</v>
      </c>
      <c r="I253" s="3">
        <v>44313</v>
      </c>
      <c r="J253" s="2">
        <v>0</v>
      </c>
      <c r="K253" s="3">
        <v>487443</v>
      </c>
      <c r="L253" s="3">
        <v>330836.8</v>
      </c>
      <c r="M253" s="3">
        <v>156606.20000000001</v>
      </c>
    </row>
    <row r="254" spans="1:13" x14ac:dyDescent="0.3">
      <c r="A254" t="s">
        <v>1516</v>
      </c>
      <c r="B254" s="4">
        <v>46105</v>
      </c>
      <c r="C254" t="s">
        <v>1515</v>
      </c>
      <c r="D254" t="s">
        <v>3</v>
      </c>
      <c r="E254" t="s">
        <v>2</v>
      </c>
      <c r="F254" t="s">
        <v>7</v>
      </c>
      <c r="G254" t="s">
        <v>0</v>
      </c>
      <c r="H254">
        <v>12</v>
      </c>
      <c r="I254" s="3">
        <v>55472</v>
      </c>
      <c r="J254" s="2">
        <v>0.05</v>
      </c>
      <c r="K254" s="3">
        <v>632380.80000000005</v>
      </c>
      <c r="L254" s="3">
        <v>391135.3</v>
      </c>
      <c r="M254" s="3">
        <v>241245.5</v>
      </c>
    </row>
    <row r="255" spans="1:13" x14ac:dyDescent="0.3">
      <c r="A255" t="s">
        <v>1514</v>
      </c>
      <c r="B255" s="4">
        <v>45737</v>
      </c>
      <c r="C255" t="s">
        <v>1513</v>
      </c>
      <c r="D255" t="s">
        <v>34</v>
      </c>
      <c r="E255" t="s">
        <v>24</v>
      </c>
      <c r="F255" t="s">
        <v>33</v>
      </c>
      <c r="G255" t="s">
        <v>0</v>
      </c>
      <c r="H255">
        <v>9</v>
      </c>
      <c r="I255" s="3">
        <v>28620</v>
      </c>
      <c r="J255" s="2">
        <v>0.1</v>
      </c>
      <c r="K255" s="3">
        <v>231822</v>
      </c>
      <c r="L255" s="3">
        <v>151221.28</v>
      </c>
      <c r="M255" s="3">
        <v>80600.72</v>
      </c>
    </row>
    <row r="256" spans="1:13" x14ac:dyDescent="0.3">
      <c r="A256" t="s">
        <v>1512</v>
      </c>
      <c r="B256" s="4">
        <v>46134</v>
      </c>
      <c r="C256" t="s">
        <v>1511</v>
      </c>
      <c r="D256" t="s">
        <v>42</v>
      </c>
      <c r="E256" t="s">
        <v>8</v>
      </c>
      <c r="F256" t="s">
        <v>33</v>
      </c>
      <c r="G256" t="s">
        <v>16</v>
      </c>
      <c r="H256">
        <v>14</v>
      </c>
      <c r="I256" s="3">
        <v>38899</v>
      </c>
      <c r="J256" s="2">
        <v>0.1</v>
      </c>
      <c r="K256" s="3">
        <v>490127.4</v>
      </c>
      <c r="L256" s="3">
        <v>305992.65000000002</v>
      </c>
      <c r="M256" s="3">
        <v>184134.75</v>
      </c>
    </row>
    <row r="257" spans="1:13" x14ac:dyDescent="0.3">
      <c r="A257" t="s">
        <v>1510</v>
      </c>
      <c r="B257" s="4">
        <v>45882</v>
      </c>
      <c r="C257" t="s">
        <v>1509</v>
      </c>
      <c r="D257" t="s">
        <v>34</v>
      </c>
      <c r="E257" t="s">
        <v>24</v>
      </c>
      <c r="F257" t="s">
        <v>33</v>
      </c>
      <c r="G257" t="s">
        <v>37</v>
      </c>
      <c r="H257">
        <v>5</v>
      </c>
      <c r="I257" s="3">
        <v>67378</v>
      </c>
      <c r="J257" s="2">
        <v>0.1</v>
      </c>
      <c r="K257" s="3">
        <v>303201</v>
      </c>
      <c r="L257" s="3">
        <v>255067.37</v>
      </c>
      <c r="M257" s="3">
        <v>48133.63</v>
      </c>
    </row>
    <row r="258" spans="1:13" x14ac:dyDescent="0.3">
      <c r="A258" t="s">
        <v>1508</v>
      </c>
      <c r="B258" s="4">
        <v>45445</v>
      </c>
      <c r="C258" t="s">
        <v>1507</v>
      </c>
      <c r="D258" t="s">
        <v>25</v>
      </c>
      <c r="E258" t="s">
        <v>24</v>
      </c>
      <c r="F258" t="s">
        <v>23</v>
      </c>
      <c r="G258" t="s">
        <v>37</v>
      </c>
      <c r="H258">
        <v>6</v>
      </c>
      <c r="I258" s="3">
        <v>40219</v>
      </c>
      <c r="J258" s="2">
        <v>0.05</v>
      </c>
      <c r="K258" s="3">
        <v>229248.3</v>
      </c>
      <c r="L258" s="3">
        <v>161679.18</v>
      </c>
      <c r="M258" s="3">
        <v>67569.119999999995</v>
      </c>
    </row>
    <row r="259" spans="1:13" x14ac:dyDescent="0.3">
      <c r="A259" t="s">
        <v>1506</v>
      </c>
      <c r="B259" s="4">
        <v>45742</v>
      </c>
      <c r="C259" t="s">
        <v>1505</v>
      </c>
      <c r="D259" t="s">
        <v>34</v>
      </c>
      <c r="E259" t="s">
        <v>24</v>
      </c>
      <c r="F259" t="s">
        <v>33</v>
      </c>
      <c r="G259" t="s">
        <v>0</v>
      </c>
      <c r="H259">
        <v>9</v>
      </c>
      <c r="I259" s="3">
        <v>54219</v>
      </c>
      <c r="J259" s="2">
        <v>0.2</v>
      </c>
      <c r="K259" s="3">
        <v>390376.8</v>
      </c>
      <c r="L259" s="3">
        <v>273621.12</v>
      </c>
      <c r="M259" s="3">
        <v>116755.68</v>
      </c>
    </row>
    <row r="260" spans="1:13" x14ac:dyDescent="0.3">
      <c r="A260" t="s">
        <v>1504</v>
      </c>
      <c r="B260" s="4">
        <v>45825</v>
      </c>
      <c r="C260" t="s">
        <v>1503</v>
      </c>
      <c r="D260" t="s">
        <v>3</v>
      </c>
      <c r="E260" t="s">
        <v>2</v>
      </c>
      <c r="F260" t="s">
        <v>23</v>
      </c>
      <c r="G260" t="s">
        <v>20</v>
      </c>
      <c r="H260">
        <v>1</v>
      </c>
      <c r="I260" s="3">
        <v>25895</v>
      </c>
      <c r="J260" s="2">
        <v>0.15</v>
      </c>
      <c r="K260" s="3">
        <v>22010.75</v>
      </c>
      <c r="L260" s="3">
        <v>15694.54</v>
      </c>
      <c r="M260" s="3">
        <v>6316.21</v>
      </c>
    </row>
    <row r="261" spans="1:13" x14ac:dyDescent="0.3">
      <c r="A261" t="s">
        <v>1502</v>
      </c>
      <c r="B261" s="4">
        <v>45567</v>
      </c>
      <c r="C261" t="s">
        <v>1501</v>
      </c>
      <c r="D261" t="s">
        <v>9</v>
      </c>
      <c r="E261" t="s">
        <v>8</v>
      </c>
      <c r="F261" t="s">
        <v>23</v>
      </c>
      <c r="G261" t="s">
        <v>12</v>
      </c>
      <c r="H261">
        <v>7</v>
      </c>
      <c r="I261" s="3">
        <v>20274</v>
      </c>
      <c r="J261" s="2">
        <v>0.2</v>
      </c>
      <c r="K261" s="3">
        <v>113534.39999999999</v>
      </c>
      <c r="L261" s="3">
        <v>91589.66</v>
      </c>
      <c r="M261" s="3">
        <v>21944.74</v>
      </c>
    </row>
    <row r="262" spans="1:13" x14ac:dyDescent="0.3">
      <c r="A262" t="s">
        <v>1500</v>
      </c>
      <c r="B262" s="4">
        <v>46059</v>
      </c>
      <c r="C262" t="s">
        <v>1499</v>
      </c>
      <c r="D262" t="s">
        <v>53</v>
      </c>
      <c r="E262" t="s">
        <v>2</v>
      </c>
      <c r="F262" t="s">
        <v>1</v>
      </c>
      <c r="G262" t="s">
        <v>37</v>
      </c>
      <c r="H262">
        <v>11</v>
      </c>
      <c r="I262" s="3">
        <v>61015</v>
      </c>
      <c r="J262" s="2">
        <v>0.05</v>
      </c>
      <c r="K262" s="3">
        <v>637606.75</v>
      </c>
      <c r="L262" s="3">
        <v>341423.48</v>
      </c>
      <c r="M262" s="3">
        <v>296183.27</v>
      </c>
    </row>
    <row r="263" spans="1:13" x14ac:dyDescent="0.3">
      <c r="A263" t="s">
        <v>1498</v>
      </c>
      <c r="B263" s="4">
        <v>46084</v>
      </c>
      <c r="C263" t="s">
        <v>1497</v>
      </c>
      <c r="D263" t="s">
        <v>25</v>
      </c>
      <c r="E263" t="s">
        <v>24</v>
      </c>
      <c r="F263" t="s">
        <v>1</v>
      </c>
      <c r="G263" t="s">
        <v>0</v>
      </c>
      <c r="H263">
        <v>15</v>
      </c>
      <c r="I263" s="3">
        <v>2759</v>
      </c>
      <c r="J263" s="2">
        <v>0.1</v>
      </c>
      <c r="K263" s="3">
        <v>37246.5</v>
      </c>
      <c r="L263" s="3">
        <v>29989.87</v>
      </c>
      <c r="M263" s="3">
        <v>7256.63</v>
      </c>
    </row>
    <row r="264" spans="1:13" x14ac:dyDescent="0.3">
      <c r="A264" t="s">
        <v>1496</v>
      </c>
      <c r="B264" s="4">
        <v>45475</v>
      </c>
      <c r="C264" t="s">
        <v>1495</v>
      </c>
      <c r="D264" t="s">
        <v>9</v>
      </c>
      <c r="E264" t="s">
        <v>8</v>
      </c>
      <c r="F264" t="s">
        <v>7</v>
      </c>
      <c r="G264" t="s">
        <v>37</v>
      </c>
      <c r="H264">
        <v>5</v>
      </c>
      <c r="I264" s="3">
        <v>40589</v>
      </c>
      <c r="J264" s="2">
        <v>0.05</v>
      </c>
      <c r="K264" s="3">
        <v>192797.75</v>
      </c>
      <c r="L264" s="3">
        <v>124860.57</v>
      </c>
      <c r="M264" s="3">
        <v>67937.179999999993</v>
      </c>
    </row>
    <row r="265" spans="1:13" x14ac:dyDescent="0.3">
      <c r="A265" t="s">
        <v>1494</v>
      </c>
      <c r="B265" s="4">
        <v>45987</v>
      </c>
      <c r="C265" t="s">
        <v>1493</v>
      </c>
      <c r="D265" t="s">
        <v>34</v>
      </c>
      <c r="E265" t="s">
        <v>24</v>
      </c>
      <c r="F265" t="s">
        <v>23</v>
      </c>
      <c r="G265" t="s">
        <v>37</v>
      </c>
      <c r="H265">
        <v>11</v>
      </c>
      <c r="I265" s="3">
        <v>8158</v>
      </c>
      <c r="J265" s="2">
        <v>0.15</v>
      </c>
      <c r="K265" s="3">
        <v>76277.3</v>
      </c>
      <c r="L265" s="3">
        <v>53289.43</v>
      </c>
      <c r="M265" s="3">
        <v>22987.87</v>
      </c>
    </row>
    <row r="266" spans="1:13" x14ac:dyDescent="0.3">
      <c r="A266" t="s">
        <v>1492</v>
      </c>
      <c r="B266" s="4">
        <v>46044</v>
      </c>
      <c r="C266" t="s">
        <v>1491</v>
      </c>
      <c r="D266" t="s">
        <v>34</v>
      </c>
      <c r="E266" t="s">
        <v>24</v>
      </c>
      <c r="F266" t="s">
        <v>33</v>
      </c>
      <c r="G266" t="s">
        <v>20</v>
      </c>
      <c r="H266">
        <v>12</v>
      </c>
      <c r="I266" s="3">
        <v>54038</v>
      </c>
      <c r="J266" s="2">
        <v>0.15</v>
      </c>
      <c r="K266" s="3">
        <v>551187.6</v>
      </c>
      <c r="L266" s="3">
        <v>288561.37</v>
      </c>
      <c r="M266" s="3">
        <v>262626.23</v>
      </c>
    </row>
    <row r="267" spans="1:13" x14ac:dyDescent="0.3">
      <c r="A267" t="s">
        <v>1490</v>
      </c>
      <c r="B267" s="4">
        <v>45586</v>
      </c>
      <c r="C267" t="s">
        <v>1489</v>
      </c>
      <c r="D267" t="s">
        <v>9</v>
      </c>
      <c r="E267" t="s">
        <v>8</v>
      </c>
      <c r="F267" t="s">
        <v>23</v>
      </c>
      <c r="G267" t="s">
        <v>6</v>
      </c>
      <c r="H267">
        <v>3</v>
      </c>
      <c r="I267" s="3">
        <v>63317</v>
      </c>
      <c r="J267" s="2">
        <v>0.15</v>
      </c>
      <c r="K267" s="3">
        <v>161458.35</v>
      </c>
      <c r="L267" s="3">
        <v>111742.39</v>
      </c>
      <c r="M267" s="3">
        <v>49715.96</v>
      </c>
    </row>
    <row r="268" spans="1:13" x14ac:dyDescent="0.3">
      <c r="A268" t="s">
        <v>1488</v>
      </c>
      <c r="B268" s="4">
        <v>45744</v>
      </c>
      <c r="C268" t="s">
        <v>1487</v>
      </c>
      <c r="D268" t="s">
        <v>25</v>
      </c>
      <c r="E268" t="s">
        <v>24</v>
      </c>
      <c r="F268" t="s">
        <v>23</v>
      </c>
      <c r="G268" t="s">
        <v>6</v>
      </c>
      <c r="H268">
        <v>15</v>
      </c>
      <c r="I268" s="3">
        <v>20892</v>
      </c>
      <c r="J268" s="2">
        <v>0</v>
      </c>
      <c r="K268" s="3">
        <v>313380</v>
      </c>
      <c r="L268" s="3">
        <v>203524.62</v>
      </c>
      <c r="M268" s="3">
        <v>109855.38</v>
      </c>
    </row>
    <row r="269" spans="1:13" x14ac:dyDescent="0.3">
      <c r="A269" t="s">
        <v>1486</v>
      </c>
      <c r="B269" s="4">
        <v>45550</v>
      </c>
      <c r="C269" t="s">
        <v>1485</v>
      </c>
      <c r="D269" t="s">
        <v>42</v>
      </c>
      <c r="E269" t="s">
        <v>8</v>
      </c>
      <c r="F269" t="s">
        <v>1</v>
      </c>
      <c r="G269" t="s">
        <v>16</v>
      </c>
      <c r="H269">
        <v>14</v>
      </c>
      <c r="I269" s="3">
        <v>12552</v>
      </c>
      <c r="J269" s="2">
        <v>0.05</v>
      </c>
      <c r="K269" s="3">
        <v>166941.6</v>
      </c>
      <c r="L269" s="3">
        <v>134278.17000000001</v>
      </c>
      <c r="M269" s="3">
        <v>32663.43</v>
      </c>
    </row>
    <row r="270" spans="1:13" x14ac:dyDescent="0.3">
      <c r="A270" t="s">
        <v>1484</v>
      </c>
      <c r="B270" s="4">
        <v>45465</v>
      </c>
      <c r="C270" t="s">
        <v>1483</v>
      </c>
      <c r="D270" t="s">
        <v>17</v>
      </c>
      <c r="E270" t="s">
        <v>2</v>
      </c>
      <c r="F270" t="s">
        <v>1</v>
      </c>
      <c r="G270" t="s">
        <v>37</v>
      </c>
      <c r="H270">
        <v>12</v>
      </c>
      <c r="I270" s="3">
        <v>32754</v>
      </c>
      <c r="J270" s="2">
        <v>0.15</v>
      </c>
      <c r="K270" s="3">
        <v>334090.8</v>
      </c>
      <c r="L270" s="3">
        <v>252821.58</v>
      </c>
      <c r="M270" s="3">
        <v>81269.22</v>
      </c>
    </row>
    <row r="271" spans="1:13" x14ac:dyDescent="0.3">
      <c r="A271" t="s">
        <v>1482</v>
      </c>
      <c r="B271" s="4">
        <v>45952</v>
      </c>
      <c r="C271" t="s">
        <v>1481</v>
      </c>
      <c r="D271" t="s">
        <v>34</v>
      </c>
      <c r="E271" t="s">
        <v>24</v>
      </c>
      <c r="F271" t="s">
        <v>13</v>
      </c>
      <c r="G271" t="s">
        <v>6</v>
      </c>
      <c r="H271">
        <v>12</v>
      </c>
      <c r="I271" s="3">
        <v>19979</v>
      </c>
      <c r="J271" s="2">
        <v>0</v>
      </c>
      <c r="K271" s="3">
        <v>239748</v>
      </c>
      <c r="L271" s="3">
        <v>144472.18</v>
      </c>
      <c r="M271" s="3">
        <v>95275.82</v>
      </c>
    </row>
    <row r="272" spans="1:13" x14ac:dyDescent="0.3">
      <c r="A272" t="s">
        <v>1480</v>
      </c>
      <c r="B272" s="4">
        <v>45861</v>
      </c>
      <c r="C272" t="s">
        <v>1479</v>
      </c>
      <c r="D272" t="s">
        <v>56</v>
      </c>
      <c r="E272" t="s">
        <v>24</v>
      </c>
      <c r="F272" t="s">
        <v>23</v>
      </c>
      <c r="G272" t="s">
        <v>37</v>
      </c>
      <c r="H272">
        <v>11</v>
      </c>
      <c r="I272" s="3">
        <v>34298</v>
      </c>
      <c r="J272" s="2">
        <v>0</v>
      </c>
      <c r="K272" s="3">
        <v>377278</v>
      </c>
      <c r="L272" s="3">
        <v>283344.65999999997</v>
      </c>
      <c r="M272" s="3">
        <v>93933.34</v>
      </c>
    </row>
    <row r="273" spans="1:13" x14ac:dyDescent="0.3">
      <c r="A273" t="s">
        <v>1478</v>
      </c>
      <c r="B273" s="4">
        <v>45673</v>
      </c>
      <c r="C273" t="s">
        <v>1477</v>
      </c>
      <c r="D273" t="s">
        <v>53</v>
      </c>
      <c r="E273" t="s">
        <v>2</v>
      </c>
      <c r="F273" t="s">
        <v>13</v>
      </c>
      <c r="G273" t="s">
        <v>12</v>
      </c>
      <c r="H273">
        <v>11</v>
      </c>
      <c r="I273" s="3">
        <v>11443</v>
      </c>
      <c r="J273" s="2">
        <v>0.15</v>
      </c>
      <c r="K273" s="3">
        <v>106992.05</v>
      </c>
      <c r="L273" s="3">
        <v>65144.45</v>
      </c>
      <c r="M273" s="3">
        <v>41847.599999999999</v>
      </c>
    </row>
    <row r="274" spans="1:13" x14ac:dyDescent="0.3">
      <c r="A274" t="s">
        <v>1476</v>
      </c>
      <c r="B274" s="4">
        <v>45781</v>
      </c>
      <c r="C274" t="s">
        <v>1475</v>
      </c>
      <c r="D274" t="s">
        <v>34</v>
      </c>
      <c r="E274" t="s">
        <v>24</v>
      </c>
      <c r="F274" t="s">
        <v>33</v>
      </c>
      <c r="G274" t="s">
        <v>16</v>
      </c>
      <c r="H274">
        <v>1</v>
      </c>
      <c r="I274" s="3">
        <v>42455</v>
      </c>
      <c r="J274" s="2">
        <v>0.1</v>
      </c>
      <c r="K274" s="3">
        <v>38209.5</v>
      </c>
      <c r="L274" s="3">
        <v>31792.83</v>
      </c>
      <c r="M274" s="3">
        <v>6416.67</v>
      </c>
    </row>
    <row r="275" spans="1:13" x14ac:dyDescent="0.3">
      <c r="A275" t="s">
        <v>1474</v>
      </c>
      <c r="B275" s="4">
        <v>45814</v>
      </c>
      <c r="C275" t="s">
        <v>1473</v>
      </c>
      <c r="D275" t="s">
        <v>42</v>
      </c>
      <c r="E275" t="s">
        <v>8</v>
      </c>
      <c r="F275" t="s">
        <v>1</v>
      </c>
      <c r="G275" t="s">
        <v>6</v>
      </c>
      <c r="H275">
        <v>3</v>
      </c>
      <c r="I275" s="3">
        <v>16296</v>
      </c>
      <c r="J275" s="2">
        <v>0.1</v>
      </c>
      <c r="K275" s="3">
        <v>43999.199999999997</v>
      </c>
      <c r="L275" s="3">
        <v>36689.279999999999</v>
      </c>
      <c r="M275" s="3">
        <v>7309.92</v>
      </c>
    </row>
    <row r="276" spans="1:13" x14ac:dyDescent="0.3">
      <c r="A276" t="s">
        <v>1472</v>
      </c>
      <c r="B276" s="4">
        <v>46070</v>
      </c>
      <c r="C276" t="s">
        <v>1471</v>
      </c>
      <c r="D276" t="s">
        <v>56</v>
      </c>
      <c r="E276" t="s">
        <v>24</v>
      </c>
      <c r="F276" t="s">
        <v>13</v>
      </c>
      <c r="G276" t="s">
        <v>0</v>
      </c>
      <c r="H276">
        <v>7</v>
      </c>
      <c r="I276" s="3">
        <v>60343</v>
      </c>
      <c r="J276" s="2">
        <v>0.1</v>
      </c>
      <c r="K276" s="3">
        <v>380160.9</v>
      </c>
      <c r="L276" s="3">
        <v>294479.65999999997</v>
      </c>
      <c r="M276" s="3">
        <v>85681.24</v>
      </c>
    </row>
    <row r="277" spans="1:13" x14ac:dyDescent="0.3">
      <c r="A277" t="s">
        <v>1470</v>
      </c>
      <c r="B277" s="4">
        <v>45517</v>
      </c>
      <c r="C277" t="s">
        <v>1469</v>
      </c>
      <c r="D277" t="s">
        <v>56</v>
      </c>
      <c r="E277" t="s">
        <v>24</v>
      </c>
      <c r="F277" t="s">
        <v>23</v>
      </c>
      <c r="G277" t="s">
        <v>12</v>
      </c>
      <c r="H277">
        <v>1</v>
      </c>
      <c r="I277" s="3">
        <v>44521</v>
      </c>
      <c r="J277" s="2">
        <v>0.2</v>
      </c>
      <c r="K277" s="3">
        <v>35616.800000000003</v>
      </c>
      <c r="L277" s="3">
        <v>26855.01</v>
      </c>
      <c r="M277" s="3">
        <v>8761.7900000000009</v>
      </c>
    </row>
    <row r="278" spans="1:13" x14ac:dyDescent="0.3">
      <c r="A278" t="s">
        <v>1468</v>
      </c>
      <c r="B278" s="4">
        <v>46057</v>
      </c>
      <c r="C278" t="s">
        <v>1467</v>
      </c>
      <c r="D278" t="s">
        <v>28</v>
      </c>
      <c r="E278" t="s">
        <v>8</v>
      </c>
      <c r="F278" t="s">
        <v>33</v>
      </c>
      <c r="G278" t="s">
        <v>20</v>
      </c>
      <c r="H278">
        <v>10</v>
      </c>
      <c r="I278" s="3">
        <v>57172</v>
      </c>
      <c r="J278" s="2">
        <v>0.05</v>
      </c>
      <c r="K278" s="3">
        <v>543134</v>
      </c>
      <c r="L278" s="3">
        <v>343172.1</v>
      </c>
      <c r="M278" s="3">
        <v>199961.9</v>
      </c>
    </row>
    <row r="279" spans="1:13" x14ac:dyDescent="0.3">
      <c r="A279" t="s">
        <v>1466</v>
      </c>
      <c r="B279" s="4">
        <v>45928</v>
      </c>
      <c r="C279" t="s">
        <v>1465</v>
      </c>
      <c r="D279" t="s">
        <v>17</v>
      </c>
      <c r="E279" t="s">
        <v>2</v>
      </c>
      <c r="F279" t="s">
        <v>33</v>
      </c>
      <c r="G279" t="s">
        <v>12</v>
      </c>
      <c r="H279">
        <v>5</v>
      </c>
      <c r="I279" s="3">
        <v>1220</v>
      </c>
      <c r="J279" s="2">
        <v>0.1</v>
      </c>
      <c r="K279" s="3">
        <v>5490</v>
      </c>
      <c r="L279" s="3">
        <v>3250.44</v>
      </c>
      <c r="M279" s="3">
        <v>2239.56</v>
      </c>
    </row>
    <row r="280" spans="1:13" x14ac:dyDescent="0.3">
      <c r="A280" t="s">
        <v>1464</v>
      </c>
      <c r="B280" s="4">
        <v>45993</v>
      </c>
      <c r="C280" t="s">
        <v>1463</v>
      </c>
      <c r="D280" t="s">
        <v>42</v>
      </c>
      <c r="E280" t="s">
        <v>8</v>
      </c>
      <c r="F280" t="s">
        <v>13</v>
      </c>
      <c r="G280" t="s">
        <v>6</v>
      </c>
      <c r="H280">
        <v>5</v>
      </c>
      <c r="I280" s="3">
        <v>19437</v>
      </c>
      <c r="J280" s="2">
        <v>0.2</v>
      </c>
      <c r="K280" s="3">
        <v>77748</v>
      </c>
      <c r="L280" s="3">
        <v>42874.11</v>
      </c>
      <c r="M280" s="3">
        <v>34873.89</v>
      </c>
    </row>
    <row r="281" spans="1:13" x14ac:dyDescent="0.3">
      <c r="A281" t="s">
        <v>1462</v>
      </c>
      <c r="B281" s="4">
        <v>45727</v>
      </c>
      <c r="C281" t="s">
        <v>1461</v>
      </c>
      <c r="D281" t="s">
        <v>56</v>
      </c>
      <c r="E281" t="s">
        <v>24</v>
      </c>
      <c r="F281" t="s">
        <v>33</v>
      </c>
      <c r="G281" t="s">
        <v>12</v>
      </c>
      <c r="H281">
        <v>9</v>
      </c>
      <c r="I281" s="3">
        <v>12149</v>
      </c>
      <c r="J281" s="2">
        <v>0.2</v>
      </c>
      <c r="K281" s="3">
        <v>87472.8</v>
      </c>
      <c r="L281" s="3">
        <v>60687.41</v>
      </c>
      <c r="M281" s="3">
        <v>26785.39</v>
      </c>
    </row>
    <row r="282" spans="1:13" x14ac:dyDescent="0.3">
      <c r="A282" t="s">
        <v>1460</v>
      </c>
      <c r="B282" s="4">
        <v>45485</v>
      </c>
      <c r="C282" t="s">
        <v>1459</v>
      </c>
      <c r="D282" t="s">
        <v>42</v>
      </c>
      <c r="E282" t="s">
        <v>8</v>
      </c>
      <c r="F282" t="s">
        <v>1</v>
      </c>
      <c r="G282" t="s">
        <v>0</v>
      </c>
      <c r="H282">
        <v>5</v>
      </c>
      <c r="I282" s="3">
        <v>8544</v>
      </c>
      <c r="J282" s="2">
        <v>0.15</v>
      </c>
      <c r="K282" s="3">
        <v>36312</v>
      </c>
      <c r="L282" s="3">
        <v>24069.88</v>
      </c>
      <c r="M282" s="3">
        <v>12242.12</v>
      </c>
    </row>
    <row r="283" spans="1:13" x14ac:dyDescent="0.3">
      <c r="A283" t="s">
        <v>1458</v>
      </c>
      <c r="B283" s="4">
        <v>46121</v>
      </c>
      <c r="C283" t="s">
        <v>1457</v>
      </c>
      <c r="D283" t="s">
        <v>42</v>
      </c>
      <c r="E283" t="s">
        <v>8</v>
      </c>
      <c r="F283" t="s">
        <v>13</v>
      </c>
      <c r="G283" t="s">
        <v>0</v>
      </c>
      <c r="H283">
        <v>13</v>
      </c>
      <c r="I283" s="3">
        <v>51459</v>
      </c>
      <c r="J283" s="2">
        <v>0.15</v>
      </c>
      <c r="K283" s="3">
        <v>568621.94999999995</v>
      </c>
      <c r="L283" s="3">
        <v>391892.35</v>
      </c>
      <c r="M283" s="3">
        <v>176729.60000000001</v>
      </c>
    </row>
    <row r="284" spans="1:13" x14ac:dyDescent="0.3">
      <c r="A284" t="s">
        <v>1456</v>
      </c>
      <c r="B284" s="4">
        <v>46046</v>
      </c>
      <c r="C284" t="s">
        <v>1455</v>
      </c>
      <c r="D284" t="s">
        <v>3</v>
      </c>
      <c r="E284" t="s">
        <v>2</v>
      </c>
      <c r="F284" t="s">
        <v>13</v>
      </c>
      <c r="G284" t="s">
        <v>0</v>
      </c>
      <c r="H284">
        <v>7</v>
      </c>
      <c r="I284" s="3">
        <v>69293</v>
      </c>
      <c r="J284" s="2">
        <v>0.1</v>
      </c>
      <c r="K284" s="3">
        <v>436545.9</v>
      </c>
      <c r="L284" s="3">
        <v>353507.4</v>
      </c>
      <c r="M284" s="3">
        <v>83038.5</v>
      </c>
    </row>
    <row r="285" spans="1:13" x14ac:dyDescent="0.3">
      <c r="A285" t="s">
        <v>1454</v>
      </c>
      <c r="B285" s="4">
        <v>45908</v>
      </c>
      <c r="C285" t="s">
        <v>1453</v>
      </c>
      <c r="D285" t="s">
        <v>34</v>
      </c>
      <c r="E285" t="s">
        <v>24</v>
      </c>
      <c r="F285" t="s">
        <v>23</v>
      </c>
      <c r="G285" t="s">
        <v>12</v>
      </c>
      <c r="H285">
        <v>10</v>
      </c>
      <c r="I285" s="3">
        <v>27459</v>
      </c>
      <c r="J285" s="2">
        <v>0.05</v>
      </c>
      <c r="K285" s="3">
        <v>260860.5</v>
      </c>
      <c r="L285" s="3">
        <v>149849.43</v>
      </c>
      <c r="M285" s="3">
        <v>111011.07</v>
      </c>
    </row>
    <row r="286" spans="1:13" x14ac:dyDescent="0.3">
      <c r="A286" t="s">
        <v>1452</v>
      </c>
      <c r="B286" s="4">
        <v>45647</v>
      </c>
      <c r="C286" t="s">
        <v>1451</v>
      </c>
      <c r="D286" t="s">
        <v>28</v>
      </c>
      <c r="E286" t="s">
        <v>8</v>
      </c>
      <c r="F286" t="s">
        <v>13</v>
      </c>
      <c r="G286" t="s">
        <v>12</v>
      </c>
      <c r="H286">
        <v>6</v>
      </c>
      <c r="I286" s="3">
        <v>74981</v>
      </c>
      <c r="J286" s="2">
        <v>0.1</v>
      </c>
      <c r="K286" s="3">
        <v>404897.4</v>
      </c>
      <c r="L286" s="3">
        <v>259487.39</v>
      </c>
      <c r="M286" s="3">
        <v>145410.01</v>
      </c>
    </row>
    <row r="287" spans="1:13" x14ac:dyDescent="0.3">
      <c r="A287" t="s">
        <v>1450</v>
      </c>
      <c r="B287" s="4">
        <v>46148</v>
      </c>
      <c r="C287" t="s">
        <v>1449</v>
      </c>
      <c r="D287" t="s">
        <v>3</v>
      </c>
      <c r="E287" t="s">
        <v>2</v>
      </c>
      <c r="F287" t="s">
        <v>7</v>
      </c>
      <c r="G287" t="s">
        <v>6</v>
      </c>
      <c r="H287">
        <v>15</v>
      </c>
      <c r="I287" s="3">
        <v>65653</v>
      </c>
      <c r="J287" s="2">
        <v>0.1</v>
      </c>
      <c r="K287" s="3">
        <v>886315.5</v>
      </c>
      <c r="L287" s="3">
        <v>711915.32</v>
      </c>
      <c r="M287" s="3">
        <v>174400.18</v>
      </c>
    </row>
    <row r="288" spans="1:13" x14ac:dyDescent="0.3">
      <c r="A288" t="s">
        <v>1448</v>
      </c>
      <c r="B288" s="4">
        <v>45618</v>
      </c>
      <c r="C288" t="s">
        <v>1447</v>
      </c>
      <c r="D288" t="s">
        <v>25</v>
      </c>
      <c r="E288" t="s">
        <v>24</v>
      </c>
      <c r="F288" t="s">
        <v>7</v>
      </c>
      <c r="G288" t="s">
        <v>20</v>
      </c>
      <c r="H288">
        <v>3</v>
      </c>
      <c r="I288" s="3">
        <v>42391</v>
      </c>
      <c r="J288" s="2">
        <v>0.2</v>
      </c>
      <c r="K288" s="3">
        <v>101738.4</v>
      </c>
      <c r="L288" s="3">
        <v>51950.23</v>
      </c>
      <c r="M288" s="3">
        <v>49788.17</v>
      </c>
    </row>
    <row r="289" spans="1:13" x14ac:dyDescent="0.3">
      <c r="A289" t="s">
        <v>1446</v>
      </c>
      <c r="B289" s="4">
        <v>45559</v>
      </c>
      <c r="C289" t="s">
        <v>1445</v>
      </c>
      <c r="D289" t="s">
        <v>42</v>
      </c>
      <c r="E289" t="s">
        <v>8</v>
      </c>
      <c r="F289" t="s">
        <v>13</v>
      </c>
      <c r="G289" t="s">
        <v>16</v>
      </c>
      <c r="H289">
        <v>2</v>
      </c>
      <c r="I289" s="3">
        <v>5401</v>
      </c>
      <c r="J289" s="2">
        <v>0.05</v>
      </c>
      <c r="K289" s="3">
        <v>10261.9</v>
      </c>
      <c r="L289" s="3">
        <v>8688.15</v>
      </c>
      <c r="M289" s="3">
        <v>1573.75</v>
      </c>
    </row>
    <row r="290" spans="1:13" x14ac:dyDescent="0.3">
      <c r="A290" t="s">
        <v>1444</v>
      </c>
      <c r="B290" s="4">
        <v>45726</v>
      </c>
      <c r="C290" t="s">
        <v>1443</v>
      </c>
      <c r="D290" t="s">
        <v>9</v>
      </c>
      <c r="E290" t="s">
        <v>8</v>
      </c>
      <c r="F290" t="s">
        <v>33</v>
      </c>
      <c r="G290" t="s">
        <v>20</v>
      </c>
      <c r="H290">
        <v>4</v>
      </c>
      <c r="I290" s="3">
        <v>35288</v>
      </c>
      <c r="J290" s="2">
        <v>0.1</v>
      </c>
      <c r="K290" s="3">
        <v>127036.8</v>
      </c>
      <c r="L290" s="3">
        <v>82457.36</v>
      </c>
      <c r="M290" s="3">
        <v>44579.44</v>
      </c>
    </row>
    <row r="291" spans="1:13" x14ac:dyDescent="0.3">
      <c r="A291" t="s">
        <v>1442</v>
      </c>
      <c r="B291" s="4">
        <v>45846</v>
      </c>
      <c r="C291" t="s">
        <v>1441</v>
      </c>
      <c r="D291" t="s">
        <v>42</v>
      </c>
      <c r="E291" t="s">
        <v>8</v>
      </c>
      <c r="F291" t="s">
        <v>1</v>
      </c>
      <c r="G291" t="s">
        <v>16</v>
      </c>
      <c r="H291">
        <v>5</v>
      </c>
      <c r="I291" s="3">
        <v>5963</v>
      </c>
      <c r="J291" s="2">
        <v>0.1</v>
      </c>
      <c r="K291" s="3">
        <v>26833.5</v>
      </c>
      <c r="L291" s="3">
        <v>15304.38</v>
      </c>
      <c r="M291" s="3">
        <v>11529.12</v>
      </c>
    </row>
    <row r="292" spans="1:13" x14ac:dyDescent="0.3">
      <c r="A292" t="s">
        <v>1440</v>
      </c>
      <c r="B292" s="4">
        <v>45785</v>
      </c>
      <c r="C292" t="s">
        <v>1439</v>
      </c>
      <c r="D292" t="s">
        <v>3</v>
      </c>
      <c r="E292" t="s">
        <v>2</v>
      </c>
      <c r="F292" t="s">
        <v>33</v>
      </c>
      <c r="G292" t="s">
        <v>16</v>
      </c>
      <c r="H292">
        <v>1</v>
      </c>
      <c r="I292" s="3">
        <v>5562</v>
      </c>
      <c r="J292" s="2">
        <v>0.2</v>
      </c>
      <c r="K292" s="3">
        <v>4449.6000000000004</v>
      </c>
      <c r="L292" s="3">
        <v>2800.45</v>
      </c>
      <c r="M292" s="3">
        <v>1649.15</v>
      </c>
    </row>
    <row r="293" spans="1:13" x14ac:dyDescent="0.3">
      <c r="A293" t="s">
        <v>1438</v>
      </c>
      <c r="B293" s="4">
        <v>45515</v>
      </c>
      <c r="C293" t="s">
        <v>1437</v>
      </c>
      <c r="D293" t="s">
        <v>53</v>
      </c>
      <c r="E293" t="s">
        <v>2</v>
      </c>
      <c r="F293" t="s">
        <v>23</v>
      </c>
      <c r="G293" t="s">
        <v>0</v>
      </c>
      <c r="H293">
        <v>11</v>
      </c>
      <c r="I293" s="3">
        <v>53087</v>
      </c>
      <c r="J293" s="2">
        <v>0</v>
      </c>
      <c r="K293" s="3">
        <v>583957</v>
      </c>
      <c r="L293" s="3">
        <v>436351.2</v>
      </c>
      <c r="M293" s="3">
        <v>147605.79999999999</v>
      </c>
    </row>
    <row r="294" spans="1:13" x14ac:dyDescent="0.3">
      <c r="A294" t="s">
        <v>1436</v>
      </c>
      <c r="B294" s="4">
        <v>46007</v>
      </c>
      <c r="C294" t="s">
        <v>1435</v>
      </c>
      <c r="D294" t="s">
        <v>34</v>
      </c>
      <c r="E294" t="s">
        <v>24</v>
      </c>
      <c r="F294" t="s">
        <v>33</v>
      </c>
      <c r="G294" t="s">
        <v>12</v>
      </c>
      <c r="H294">
        <v>4</v>
      </c>
      <c r="I294" s="3">
        <v>12768</v>
      </c>
      <c r="J294" s="2">
        <v>0.2</v>
      </c>
      <c r="K294" s="3">
        <v>40857.599999999999</v>
      </c>
      <c r="L294" s="3">
        <v>26050.45</v>
      </c>
      <c r="M294" s="3">
        <v>14807.15</v>
      </c>
    </row>
    <row r="295" spans="1:13" x14ac:dyDescent="0.3">
      <c r="A295" t="s">
        <v>1434</v>
      </c>
      <c r="B295" s="4">
        <v>45882</v>
      </c>
      <c r="C295" t="s">
        <v>1433</v>
      </c>
      <c r="D295" t="s">
        <v>25</v>
      </c>
      <c r="E295" t="s">
        <v>24</v>
      </c>
      <c r="F295" t="s">
        <v>7</v>
      </c>
      <c r="G295" t="s">
        <v>0</v>
      </c>
      <c r="H295">
        <v>12</v>
      </c>
      <c r="I295" s="3">
        <v>30061</v>
      </c>
      <c r="J295" s="2">
        <v>0.05</v>
      </c>
      <c r="K295" s="3">
        <v>342695.4</v>
      </c>
      <c r="L295" s="3">
        <v>175981.31</v>
      </c>
      <c r="M295" s="3">
        <v>166714.09</v>
      </c>
    </row>
    <row r="296" spans="1:13" x14ac:dyDescent="0.3">
      <c r="A296" t="s">
        <v>1432</v>
      </c>
      <c r="B296" s="4">
        <v>45612</v>
      </c>
      <c r="C296" t="s">
        <v>1431</v>
      </c>
      <c r="D296" t="s">
        <v>53</v>
      </c>
      <c r="E296" t="s">
        <v>2</v>
      </c>
      <c r="F296" t="s">
        <v>13</v>
      </c>
      <c r="G296" t="s">
        <v>6</v>
      </c>
      <c r="H296">
        <v>15</v>
      </c>
      <c r="I296" s="3">
        <v>4641</v>
      </c>
      <c r="J296" s="2">
        <v>0</v>
      </c>
      <c r="K296" s="3">
        <v>69615</v>
      </c>
      <c r="L296" s="3">
        <v>41091.379999999997</v>
      </c>
      <c r="M296" s="3">
        <v>28523.62</v>
      </c>
    </row>
    <row r="297" spans="1:13" x14ac:dyDescent="0.3">
      <c r="A297" t="s">
        <v>1430</v>
      </c>
      <c r="B297" s="4">
        <v>46070</v>
      </c>
      <c r="C297" t="s">
        <v>1429</v>
      </c>
      <c r="D297" t="s">
        <v>9</v>
      </c>
      <c r="E297" t="s">
        <v>8</v>
      </c>
      <c r="F297" t="s">
        <v>7</v>
      </c>
      <c r="G297" t="s">
        <v>37</v>
      </c>
      <c r="H297">
        <v>13</v>
      </c>
      <c r="I297" s="3">
        <v>64363</v>
      </c>
      <c r="J297" s="2">
        <v>0</v>
      </c>
      <c r="K297" s="3">
        <v>836719</v>
      </c>
      <c r="L297" s="3">
        <v>447954.14</v>
      </c>
      <c r="M297" s="3">
        <v>388764.86</v>
      </c>
    </row>
    <row r="298" spans="1:13" x14ac:dyDescent="0.3">
      <c r="A298" t="s">
        <v>1428</v>
      </c>
      <c r="B298" s="4">
        <v>46109</v>
      </c>
      <c r="C298" t="s">
        <v>1427</v>
      </c>
      <c r="D298" t="s">
        <v>53</v>
      </c>
      <c r="E298" t="s">
        <v>2</v>
      </c>
      <c r="F298" t="s">
        <v>23</v>
      </c>
      <c r="G298" t="s">
        <v>16</v>
      </c>
      <c r="H298">
        <v>12</v>
      </c>
      <c r="I298" s="3">
        <v>40163</v>
      </c>
      <c r="J298" s="2">
        <v>0.2</v>
      </c>
      <c r="K298" s="3">
        <v>385564.8</v>
      </c>
      <c r="L298" s="3">
        <v>272599.27</v>
      </c>
      <c r="M298" s="3">
        <v>112965.53</v>
      </c>
    </row>
    <row r="299" spans="1:13" x14ac:dyDescent="0.3">
      <c r="A299" t="s">
        <v>1426</v>
      </c>
      <c r="B299" s="4">
        <v>45435</v>
      </c>
      <c r="C299" t="s">
        <v>1425</v>
      </c>
      <c r="D299" t="s">
        <v>56</v>
      </c>
      <c r="E299" t="s">
        <v>24</v>
      </c>
      <c r="F299" t="s">
        <v>33</v>
      </c>
      <c r="G299" t="s">
        <v>12</v>
      </c>
      <c r="H299">
        <v>5</v>
      </c>
      <c r="I299" s="3">
        <v>52124</v>
      </c>
      <c r="J299" s="2">
        <v>0</v>
      </c>
      <c r="K299" s="3">
        <v>260620</v>
      </c>
      <c r="L299" s="3">
        <v>164514.84</v>
      </c>
      <c r="M299" s="3">
        <v>96105.16</v>
      </c>
    </row>
    <row r="300" spans="1:13" x14ac:dyDescent="0.3">
      <c r="A300" t="s">
        <v>1424</v>
      </c>
      <c r="B300" s="4">
        <v>45919</v>
      </c>
      <c r="C300" t="s">
        <v>1423</v>
      </c>
      <c r="D300" t="s">
        <v>25</v>
      </c>
      <c r="E300" t="s">
        <v>24</v>
      </c>
      <c r="F300" t="s">
        <v>1</v>
      </c>
      <c r="G300" t="s">
        <v>37</v>
      </c>
      <c r="H300">
        <v>13</v>
      </c>
      <c r="I300" s="3">
        <v>19762</v>
      </c>
      <c r="J300" s="2">
        <v>0</v>
      </c>
      <c r="K300" s="3">
        <v>256906</v>
      </c>
      <c r="L300" s="3">
        <v>170525.05</v>
      </c>
      <c r="M300" s="3">
        <v>86380.95</v>
      </c>
    </row>
    <row r="301" spans="1:13" x14ac:dyDescent="0.3">
      <c r="A301" t="s">
        <v>1422</v>
      </c>
      <c r="B301" s="4">
        <v>45536</v>
      </c>
      <c r="C301" t="s">
        <v>1421</v>
      </c>
      <c r="D301" t="s">
        <v>3</v>
      </c>
      <c r="E301" t="s">
        <v>2</v>
      </c>
      <c r="F301" t="s">
        <v>23</v>
      </c>
      <c r="G301" t="s">
        <v>16</v>
      </c>
      <c r="H301">
        <v>2</v>
      </c>
      <c r="I301" s="3">
        <v>49902</v>
      </c>
      <c r="J301" s="2">
        <v>0.05</v>
      </c>
      <c r="K301" s="3">
        <v>94813.8</v>
      </c>
      <c r="L301" s="3">
        <v>73235.16</v>
      </c>
      <c r="M301" s="3">
        <v>21578.639999999999</v>
      </c>
    </row>
    <row r="302" spans="1:13" x14ac:dyDescent="0.3">
      <c r="A302" t="s">
        <v>1420</v>
      </c>
      <c r="B302" s="4">
        <v>45874</v>
      </c>
      <c r="C302" t="s">
        <v>1419</v>
      </c>
      <c r="D302" t="s">
        <v>53</v>
      </c>
      <c r="E302" t="s">
        <v>2</v>
      </c>
      <c r="F302" t="s">
        <v>1</v>
      </c>
      <c r="G302" t="s">
        <v>16</v>
      </c>
      <c r="H302">
        <v>2</v>
      </c>
      <c r="I302" s="3">
        <v>60288</v>
      </c>
      <c r="J302" s="2">
        <v>0.1</v>
      </c>
      <c r="K302" s="3">
        <v>108518.39999999999</v>
      </c>
      <c r="L302" s="3">
        <v>66510.7</v>
      </c>
      <c r="M302" s="3">
        <v>42007.7</v>
      </c>
    </row>
    <row r="303" spans="1:13" x14ac:dyDescent="0.3">
      <c r="A303" t="s">
        <v>1418</v>
      </c>
      <c r="B303" s="4">
        <v>45608</v>
      </c>
      <c r="C303" t="s">
        <v>1417</v>
      </c>
      <c r="D303" t="s">
        <v>53</v>
      </c>
      <c r="E303" t="s">
        <v>2</v>
      </c>
      <c r="F303" t="s">
        <v>23</v>
      </c>
      <c r="G303" t="s">
        <v>12</v>
      </c>
      <c r="H303">
        <v>6</v>
      </c>
      <c r="I303" s="3">
        <v>19712</v>
      </c>
      <c r="J303" s="2">
        <v>0.1</v>
      </c>
      <c r="K303" s="3">
        <v>106444.8</v>
      </c>
      <c r="L303" s="3">
        <v>61480.15</v>
      </c>
      <c r="M303" s="3">
        <v>44964.65</v>
      </c>
    </row>
    <row r="304" spans="1:13" x14ac:dyDescent="0.3">
      <c r="A304" t="s">
        <v>1416</v>
      </c>
      <c r="B304" s="4">
        <v>45718</v>
      </c>
      <c r="C304" t="s">
        <v>1415</v>
      </c>
      <c r="D304" t="s">
        <v>28</v>
      </c>
      <c r="E304" t="s">
        <v>8</v>
      </c>
      <c r="F304" t="s">
        <v>7</v>
      </c>
      <c r="G304" t="s">
        <v>16</v>
      </c>
      <c r="H304">
        <v>9</v>
      </c>
      <c r="I304" s="3">
        <v>19967</v>
      </c>
      <c r="J304" s="2">
        <v>0.15</v>
      </c>
      <c r="K304" s="3">
        <v>152747.54999999999</v>
      </c>
      <c r="L304" s="3">
        <v>122924.06</v>
      </c>
      <c r="M304" s="3">
        <v>29823.49</v>
      </c>
    </row>
    <row r="305" spans="1:13" x14ac:dyDescent="0.3">
      <c r="A305" t="s">
        <v>1414</v>
      </c>
      <c r="B305" s="4">
        <v>46161</v>
      </c>
      <c r="C305" t="s">
        <v>1413</v>
      </c>
      <c r="D305" t="s">
        <v>25</v>
      </c>
      <c r="E305" t="s">
        <v>24</v>
      </c>
      <c r="F305" t="s">
        <v>7</v>
      </c>
      <c r="G305" t="s">
        <v>0</v>
      </c>
      <c r="H305">
        <v>3</v>
      </c>
      <c r="I305" s="3">
        <v>4331</v>
      </c>
      <c r="J305" s="2">
        <v>0.1</v>
      </c>
      <c r="K305" s="3">
        <v>11693.7</v>
      </c>
      <c r="L305" s="3">
        <v>8183.8</v>
      </c>
      <c r="M305" s="3">
        <v>3509.9</v>
      </c>
    </row>
    <row r="306" spans="1:13" x14ac:dyDescent="0.3">
      <c r="A306" t="s">
        <v>1412</v>
      </c>
      <c r="B306" s="4">
        <v>45483</v>
      </c>
      <c r="C306" t="s">
        <v>1411</v>
      </c>
      <c r="D306" t="s">
        <v>17</v>
      </c>
      <c r="E306" t="s">
        <v>2</v>
      </c>
      <c r="F306" t="s">
        <v>33</v>
      </c>
      <c r="G306" t="s">
        <v>37</v>
      </c>
      <c r="H306">
        <v>8</v>
      </c>
      <c r="I306" s="3">
        <v>15318</v>
      </c>
      <c r="J306" s="2">
        <v>0.1</v>
      </c>
      <c r="K306" s="3">
        <v>110289.60000000001</v>
      </c>
      <c r="L306" s="3">
        <v>72754.149999999994</v>
      </c>
      <c r="M306" s="3">
        <v>37535.449999999997</v>
      </c>
    </row>
    <row r="307" spans="1:13" x14ac:dyDescent="0.3">
      <c r="A307" t="s">
        <v>1410</v>
      </c>
      <c r="B307" s="4">
        <v>45746</v>
      </c>
      <c r="C307" t="s">
        <v>1409</v>
      </c>
      <c r="D307" t="s">
        <v>53</v>
      </c>
      <c r="E307" t="s">
        <v>2</v>
      </c>
      <c r="F307" t="s">
        <v>7</v>
      </c>
      <c r="G307" t="s">
        <v>37</v>
      </c>
      <c r="H307">
        <v>1</v>
      </c>
      <c r="I307" s="3">
        <v>28676</v>
      </c>
      <c r="J307" s="2">
        <v>0.2</v>
      </c>
      <c r="K307" s="3">
        <v>22940.799999999999</v>
      </c>
      <c r="L307" s="3">
        <v>15304.02</v>
      </c>
      <c r="M307" s="3">
        <v>7636.78</v>
      </c>
    </row>
    <row r="308" spans="1:13" x14ac:dyDescent="0.3">
      <c r="A308" t="s">
        <v>1408</v>
      </c>
      <c r="B308" s="4">
        <v>46071</v>
      </c>
      <c r="C308" t="s">
        <v>1407</v>
      </c>
      <c r="D308" t="s">
        <v>25</v>
      </c>
      <c r="E308" t="s">
        <v>24</v>
      </c>
      <c r="F308" t="s">
        <v>1</v>
      </c>
      <c r="G308" t="s">
        <v>37</v>
      </c>
      <c r="H308">
        <v>6</v>
      </c>
      <c r="I308" s="3">
        <v>57630</v>
      </c>
      <c r="J308" s="2">
        <v>0.1</v>
      </c>
      <c r="K308" s="3">
        <v>311202</v>
      </c>
      <c r="L308" s="3">
        <v>264313.19</v>
      </c>
      <c r="M308" s="3">
        <v>46888.81</v>
      </c>
    </row>
    <row r="309" spans="1:13" x14ac:dyDescent="0.3">
      <c r="A309" t="s">
        <v>1406</v>
      </c>
      <c r="B309" s="4">
        <v>45778</v>
      </c>
      <c r="C309" t="s">
        <v>1405</v>
      </c>
      <c r="D309" t="s">
        <v>56</v>
      </c>
      <c r="E309" t="s">
        <v>24</v>
      </c>
      <c r="F309" t="s">
        <v>7</v>
      </c>
      <c r="G309" t="s">
        <v>12</v>
      </c>
      <c r="H309">
        <v>7</v>
      </c>
      <c r="I309" s="3">
        <v>22259</v>
      </c>
      <c r="J309" s="2">
        <v>0</v>
      </c>
      <c r="K309" s="3">
        <v>155813</v>
      </c>
      <c r="L309" s="3">
        <v>123296.87</v>
      </c>
      <c r="M309" s="3">
        <v>32516.13</v>
      </c>
    </row>
    <row r="310" spans="1:13" x14ac:dyDescent="0.3">
      <c r="A310" t="s">
        <v>1404</v>
      </c>
      <c r="B310" s="4">
        <v>45562</v>
      </c>
      <c r="C310" t="s">
        <v>1403</v>
      </c>
      <c r="D310" t="s">
        <v>42</v>
      </c>
      <c r="E310" t="s">
        <v>8</v>
      </c>
      <c r="F310" t="s">
        <v>33</v>
      </c>
      <c r="G310" t="s">
        <v>37</v>
      </c>
      <c r="H310">
        <v>8</v>
      </c>
      <c r="I310" s="3">
        <v>67557</v>
      </c>
      <c r="J310" s="2">
        <v>0.1</v>
      </c>
      <c r="K310" s="3">
        <v>486410.4</v>
      </c>
      <c r="L310" s="3">
        <v>330163</v>
      </c>
      <c r="M310" s="3">
        <v>156247.4</v>
      </c>
    </row>
    <row r="311" spans="1:13" x14ac:dyDescent="0.3">
      <c r="A311" t="s">
        <v>1402</v>
      </c>
      <c r="B311" s="4">
        <v>45749</v>
      </c>
      <c r="C311" t="s">
        <v>1401</v>
      </c>
      <c r="D311" t="s">
        <v>28</v>
      </c>
      <c r="E311" t="s">
        <v>8</v>
      </c>
      <c r="F311" t="s">
        <v>33</v>
      </c>
      <c r="G311" t="s">
        <v>12</v>
      </c>
      <c r="H311">
        <v>3</v>
      </c>
      <c r="I311" s="3">
        <v>48198</v>
      </c>
      <c r="J311" s="2">
        <v>0.15</v>
      </c>
      <c r="K311" s="3">
        <v>122904.9</v>
      </c>
      <c r="L311" s="3">
        <v>63196.69</v>
      </c>
      <c r="M311" s="3">
        <v>59708.21</v>
      </c>
    </row>
    <row r="312" spans="1:13" x14ac:dyDescent="0.3">
      <c r="A312" t="s">
        <v>1400</v>
      </c>
      <c r="B312" s="4">
        <v>45515</v>
      </c>
      <c r="C312" t="s">
        <v>1399</v>
      </c>
      <c r="D312" t="s">
        <v>34</v>
      </c>
      <c r="E312" t="s">
        <v>24</v>
      </c>
      <c r="F312" t="s">
        <v>1</v>
      </c>
      <c r="G312" t="s">
        <v>6</v>
      </c>
      <c r="H312">
        <v>3</v>
      </c>
      <c r="I312" s="3">
        <v>19097</v>
      </c>
      <c r="J312" s="2">
        <v>0.05</v>
      </c>
      <c r="K312" s="3">
        <v>54426.45</v>
      </c>
      <c r="L312" s="3">
        <v>37150.32</v>
      </c>
      <c r="M312" s="3">
        <v>17276.13</v>
      </c>
    </row>
    <row r="313" spans="1:13" x14ac:dyDescent="0.3">
      <c r="A313" t="s">
        <v>1398</v>
      </c>
      <c r="B313" s="4">
        <v>45544</v>
      </c>
      <c r="C313" t="s">
        <v>1397</v>
      </c>
      <c r="D313" t="s">
        <v>3</v>
      </c>
      <c r="E313" t="s">
        <v>2</v>
      </c>
      <c r="F313" t="s">
        <v>33</v>
      </c>
      <c r="G313" t="s">
        <v>0</v>
      </c>
      <c r="H313">
        <v>10</v>
      </c>
      <c r="I313" s="3">
        <v>11389</v>
      </c>
      <c r="J313" s="2">
        <v>0</v>
      </c>
      <c r="K313" s="3">
        <v>113890</v>
      </c>
      <c r="L313" s="3">
        <v>92394.84</v>
      </c>
      <c r="M313" s="3">
        <v>21495.16</v>
      </c>
    </row>
    <row r="314" spans="1:13" x14ac:dyDescent="0.3">
      <c r="A314" t="s">
        <v>1396</v>
      </c>
      <c r="B314" s="4">
        <v>45937</v>
      </c>
      <c r="C314" t="s">
        <v>1395</v>
      </c>
      <c r="D314" t="s">
        <v>3</v>
      </c>
      <c r="E314" t="s">
        <v>2</v>
      </c>
      <c r="F314" t="s">
        <v>23</v>
      </c>
      <c r="G314" t="s">
        <v>37</v>
      </c>
      <c r="H314">
        <v>3</v>
      </c>
      <c r="I314" s="3">
        <v>26189</v>
      </c>
      <c r="J314" s="2">
        <v>0.2</v>
      </c>
      <c r="K314" s="3">
        <v>62853.599999999999</v>
      </c>
      <c r="L314" s="3">
        <v>38203.39</v>
      </c>
      <c r="M314" s="3">
        <v>24650.21</v>
      </c>
    </row>
    <row r="315" spans="1:13" x14ac:dyDescent="0.3">
      <c r="A315" t="s">
        <v>1394</v>
      </c>
      <c r="B315" s="4">
        <v>45674</v>
      </c>
      <c r="C315" t="s">
        <v>1393</v>
      </c>
      <c r="D315" t="s">
        <v>9</v>
      </c>
      <c r="E315" t="s">
        <v>8</v>
      </c>
      <c r="F315" t="s">
        <v>7</v>
      </c>
      <c r="G315" t="s">
        <v>0</v>
      </c>
      <c r="H315">
        <v>9</v>
      </c>
      <c r="I315" s="3">
        <v>54493</v>
      </c>
      <c r="J315" s="2">
        <v>0</v>
      </c>
      <c r="K315" s="3">
        <v>490437</v>
      </c>
      <c r="L315" s="3">
        <v>334213.55</v>
      </c>
      <c r="M315" s="3">
        <v>156223.45000000001</v>
      </c>
    </row>
    <row r="316" spans="1:13" x14ac:dyDescent="0.3">
      <c r="A316" t="s">
        <v>1392</v>
      </c>
      <c r="B316" s="4">
        <v>45996</v>
      </c>
      <c r="C316" t="s">
        <v>1391</v>
      </c>
      <c r="D316" t="s">
        <v>34</v>
      </c>
      <c r="E316" t="s">
        <v>24</v>
      </c>
      <c r="F316" t="s">
        <v>33</v>
      </c>
      <c r="G316" t="s">
        <v>12</v>
      </c>
      <c r="H316">
        <v>14</v>
      </c>
      <c r="I316" s="3">
        <v>65620</v>
      </c>
      <c r="J316" s="2">
        <v>0</v>
      </c>
      <c r="K316" s="3">
        <v>918680</v>
      </c>
      <c r="L316" s="3">
        <v>464306.2</v>
      </c>
      <c r="M316" s="3">
        <v>454373.8</v>
      </c>
    </row>
    <row r="317" spans="1:13" x14ac:dyDescent="0.3">
      <c r="A317" t="s">
        <v>1390</v>
      </c>
      <c r="B317" s="4">
        <v>46089</v>
      </c>
      <c r="C317" t="s">
        <v>1389</v>
      </c>
      <c r="D317" t="s">
        <v>28</v>
      </c>
      <c r="E317" t="s">
        <v>8</v>
      </c>
      <c r="F317" t="s">
        <v>7</v>
      </c>
      <c r="G317" t="s">
        <v>37</v>
      </c>
      <c r="H317">
        <v>4</v>
      </c>
      <c r="I317" s="3">
        <v>25386</v>
      </c>
      <c r="J317" s="2">
        <v>0.2</v>
      </c>
      <c r="K317" s="3">
        <v>81235.199999999997</v>
      </c>
      <c r="L317" s="3">
        <v>64262.57</v>
      </c>
      <c r="M317" s="3">
        <v>16972.63</v>
      </c>
    </row>
    <row r="318" spans="1:13" x14ac:dyDescent="0.3">
      <c r="A318" t="s">
        <v>1388</v>
      </c>
      <c r="B318" s="4">
        <v>45943</v>
      </c>
      <c r="C318" t="s">
        <v>1387</v>
      </c>
      <c r="D318" t="s">
        <v>53</v>
      </c>
      <c r="E318" t="s">
        <v>2</v>
      </c>
      <c r="F318" t="s">
        <v>33</v>
      </c>
      <c r="G318" t="s">
        <v>20</v>
      </c>
      <c r="H318">
        <v>6</v>
      </c>
      <c r="I318" s="3">
        <v>1608</v>
      </c>
      <c r="J318" s="2">
        <v>0.1</v>
      </c>
      <c r="K318" s="3">
        <v>8683.2000000000007</v>
      </c>
      <c r="L318" s="3">
        <v>5921.4</v>
      </c>
      <c r="M318" s="3">
        <v>2761.8</v>
      </c>
    </row>
    <row r="319" spans="1:13" x14ac:dyDescent="0.3">
      <c r="A319" t="s">
        <v>1386</v>
      </c>
      <c r="B319" s="4">
        <v>45614</v>
      </c>
      <c r="C319" t="s">
        <v>1385</v>
      </c>
      <c r="D319" t="s">
        <v>3</v>
      </c>
      <c r="E319" t="s">
        <v>2</v>
      </c>
      <c r="F319" t="s">
        <v>33</v>
      </c>
      <c r="G319" t="s">
        <v>20</v>
      </c>
      <c r="H319">
        <v>6</v>
      </c>
      <c r="I319" s="3">
        <v>33076</v>
      </c>
      <c r="J319" s="2">
        <v>0.1</v>
      </c>
      <c r="K319" s="3">
        <v>178610.4</v>
      </c>
      <c r="L319" s="3">
        <v>138011.1</v>
      </c>
      <c r="M319" s="3">
        <v>40599.300000000003</v>
      </c>
    </row>
    <row r="320" spans="1:13" x14ac:dyDescent="0.3">
      <c r="A320" t="s">
        <v>1384</v>
      </c>
      <c r="B320" s="4">
        <v>46152</v>
      </c>
      <c r="C320" t="s">
        <v>1383</v>
      </c>
      <c r="D320" t="s">
        <v>17</v>
      </c>
      <c r="E320" t="s">
        <v>2</v>
      </c>
      <c r="F320" t="s">
        <v>23</v>
      </c>
      <c r="G320" t="s">
        <v>20</v>
      </c>
      <c r="H320">
        <v>14</v>
      </c>
      <c r="I320" s="3">
        <v>15114</v>
      </c>
      <c r="J320" s="2">
        <v>0.15</v>
      </c>
      <c r="K320" s="3">
        <v>179856.6</v>
      </c>
      <c r="L320" s="3">
        <v>118031.54</v>
      </c>
      <c r="M320" s="3">
        <v>61825.06</v>
      </c>
    </row>
    <row r="321" spans="1:13" x14ac:dyDescent="0.3">
      <c r="A321" t="s">
        <v>1382</v>
      </c>
      <c r="B321" s="4">
        <v>45640</v>
      </c>
      <c r="C321" t="s">
        <v>1381</v>
      </c>
      <c r="D321" t="s">
        <v>42</v>
      </c>
      <c r="E321" t="s">
        <v>8</v>
      </c>
      <c r="F321" t="s">
        <v>1</v>
      </c>
      <c r="G321" t="s">
        <v>12</v>
      </c>
      <c r="H321">
        <v>1</v>
      </c>
      <c r="I321" s="3">
        <v>32920</v>
      </c>
      <c r="J321" s="2">
        <v>0</v>
      </c>
      <c r="K321" s="3">
        <v>32920</v>
      </c>
      <c r="L321" s="3">
        <v>19037.46</v>
      </c>
      <c r="M321" s="3">
        <v>13882.54</v>
      </c>
    </row>
    <row r="322" spans="1:13" x14ac:dyDescent="0.3">
      <c r="A322" t="s">
        <v>1380</v>
      </c>
      <c r="B322" s="4">
        <v>46146</v>
      </c>
      <c r="C322" t="s">
        <v>1379</v>
      </c>
      <c r="D322" t="s">
        <v>17</v>
      </c>
      <c r="E322" t="s">
        <v>2</v>
      </c>
      <c r="F322" t="s">
        <v>1</v>
      </c>
      <c r="G322" t="s">
        <v>0</v>
      </c>
      <c r="H322">
        <v>5</v>
      </c>
      <c r="I322" s="3">
        <v>73792</v>
      </c>
      <c r="J322" s="2">
        <v>0</v>
      </c>
      <c r="K322" s="3">
        <v>368960</v>
      </c>
      <c r="L322" s="3">
        <v>186991.85</v>
      </c>
      <c r="M322" s="3">
        <v>181968.15</v>
      </c>
    </row>
    <row r="323" spans="1:13" x14ac:dyDescent="0.3">
      <c r="A323" t="s">
        <v>1378</v>
      </c>
      <c r="B323" s="4">
        <v>46128</v>
      </c>
      <c r="C323" t="s">
        <v>1377</v>
      </c>
      <c r="D323" t="s">
        <v>53</v>
      </c>
      <c r="E323" t="s">
        <v>2</v>
      </c>
      <c r="F323" t="s">
        <v>33</v>
      </c>
      <c r="G323" t="s">
        <v>37</v>
      </c>
      <c r="H323">
        <v>11</v>
      </c>
      <c r="I323" s="3">
        <v>61809</v>
      </c>
      <c r="J323" s="2">
        <v>0.2</v>
      </c>
      <c r="K323" s="3">
        <v>543919.19999999995</v>
      </c>
      <c r="L323" s="3">
        <v>317338.01</v>
      </c>
      <c r="M323" s="3">
        <v>226581.19</v>
      </c>
    </row>
    <row r="324" spans="1:13" x14ac:dyDescent="0.3">
      <c r="A324" t="s">
        <v>1376</v>
      </c>
      <c r="B324" s="4">
        <v>45636</v>
      </c>
      <c r="C324" t="s">
        <v>1375</v>
      </c>
      <c r="D324" t="s">
        <v>25</v>
      </c>
      <c r="E324" t="s">
        <v>24</v>
      </c>
      <c r="F324" t="s">
        <v>33</v>
      </c>
      <c r="G324" t="s">
        <v>16</v>
      </c>
      <c r="H324">
        <v>12</v>
      </c>
      <c r="I324" s="3">
        <v>24458</v>
      </c>
      <c r="J324" s="2">
        <v>0</v>
      </c>
      <c r="K324" s="3">
        <v>293496</v>
      </c>
      <c r="L324" s="3">
        <v>174792.89</v>
      </c>
      <c r="M324" s="3">
        <v>118703.11</v>
      </c>
    </row>
    <row r="325" spans="1:13" x14ac:dyDescent="0.3">
      <c r="A325" t="s">
        <v>1374</v>
      </c>
      <c r="B325" s="4">
        <v>45557</v>
      </c>
      <c r="C325" t="s">
        <v>1373</v>
      </c>
      <c r="D325" t="s">
        <v>9</v>
      </c>
      <c r="E325" t="s">
        <v>8</v>
      </c>
      <c r="F325" t="s">
        <v>33</v>
      </c>
      <c r="G325" t="s">
        <v>12</v>
      </c>
      <c r="H325">
        <v>13</v>
      </c>
      <c r="I325" s="3">
        <v>37650</v>
      </c>
      <c r="J325" s="2">
        <v>0</v>
      </c>
      <c r="K325" s="3">
        <v>489450</v>
      </c>
      <c r="L325" s="3">
        <v>265630.92</v>
      </c>
      <c r="M325" s="3">
        <v>223819.08</v>
      </c>
    </row>
    <row r="326" spans="1:13" x14ac:dyDescent="0.3">
      <c r="A326" t="s">
        <v>1372</v>
      </c>
      <c r="B326" s="4">
        <v>45689</v>
      </c>
      <c r="C326" t="s">
        <v>1371</v>
      </c>
      <c r="D326" t="s">
        <v>9</v>
      </c>
      <c r="E326" t="s">
        <v>8</v>
      </c>
      <c r="F326" t="s">
        <v>33</v>
      </c>
      <c r="G326" t="s">
        <v>6</v>
      </c>
      <c r="H326">
        <v>4</v>
      </c>
      <c r="I326" s="3">
        <v>30757</v>
      </c>
      <c r="J326" s="2">
        <v>0.05</v>
      </c>
      <c r="K326" s="3">
        <v>116876.6</v>
      </c>
      <c r="L326" s="3">
        <v>85795.78</v>
      </c>
      <c r="M326" s="3">
        <v>31080.82</v>
      </c>
    </row>
    <row r="327" spans="1:13" x14ac:dyDescent="0.3">
      <c r="A327" t="s">
        <v>1370</v>
      </c>
      <c r="B327" s="4">
        <v>46149</v>
      </c>
      <c r="C327" t="s">
        <v>1369</v>
      </c>
      <c r="D327" t="s">
        <v>25</v>
      </c>
      <c r="E327" t="s">
        <v>24</v>
      </c>
      <c r="F327" t="s">
        <v>13</v>
      </c>
      <c r="G327" t="s">
        <v>20</v>
      </c>
      <c r="H327">
        <v>14</v>
      </c>
      <c r="I327" s="3">
        <v>3425</v>
      </c>
      <c r="J327" s="2">
        <v>0.15</v>
      </c>
      <c r="K327" s="3">
        <v>40757.5</v>
      </c>
      <c r="L327" s="3">
        <v>30276.880000000001</v>
      </c>
      <c r="M327" s="3">
        <v>10480.620000000001</v>
      </c>
    </row>
    <row r="328" spans="1:13" x14ac:dyDescent="0.3">
      <c r="A328" t="s">
        <v>1368</v>
      </c>
      <c r="B328" s="4">
        <v>45798</v>
      </c>
      <c r="C328" t="s">
        <v>305</v>
      </c>
      <c r="D328" t="s">
        <v>42</v>
      </c>
      <c r="E328" t="s">
        <v>8</v>
      </c>
      <c r="F328" t="s">
        <v>1</v>
      </c>
      <c r="G328" t="s">
        <v>0</v>
      </c>
      <c r="H328">
        <v>7</v>
      </c>
      <c r="I328" s="3">
        <v>7811</v>
      </c>
      <c r="J328" s="2">
        <v>0.1</v>
      </c>
      <c r="K328" s="3">
        <v>49209.3</v>
      </c>
      <c r="L328" s="3">
        <v>30435.56</v>
      </c>
      <c r="M328" s="3">
        <v>18773.740000000002</v>
      </c>
    </row>
    <row r="329" spans="1:13" x14ac:dyDescent="0.3">
      <c r="A329" t="s">
        <v>1367</v>
      </c>
      <c r="B329" s="4">
        <v>45454</v>
      </c>
      <c r="C329" t="s">
        <v>1366</v>
      </c>
      <c r="D329" t="s">
        <v>28</v>
      </c>
      <c r="E329" t="s">
        <v>8</v>
      </c>
      <c r="F329" t="s">
        <v>13</v>
      </c>
      <c r="G329" t="s">
        <v>37</v>
      </c>
      <c r="H329">
        <v>14</v>
      </c>
      <c r="I329" s="3">
        <v>74980</v>
      </c>
      <c r="J329" s="2">
        <v>0.1</v>
      </c>
      <c r="K329" s="3">
        <v>944748</v>
      </c>
      <c r="L329" s="3">
        <v>741877.65</v>
      </c>
      <c r="M329" s="3">
        <v>202870.35</v>
      </c>
    </row>
    <row r="330" spans="1:13" x14ac:dyDescent="0.3">
      <c r="A330" t="s">
        <v>1365</v>
      </c>
      <c r="B330" s="4">
        <v>45673</v>
      </c>
      <c r="C330" t="s">
        <v>1364</v>
      </c>
      <c r="D330" t="s">
        <v>34</v>
      </c>
      <c r="E330" t="s">
        <v>24</v>
      </c>
      <c r="F330" t="s">
        <v>23</v>
      </c>
      <c r="G330" t="s">
        <v>0</v>
      </c>
      <c r="H330">
        <v>3</v>
      </c>
      <c r="I330" s="3">
        <v>47323</v>
      </c>
      <c r="J330" s="2">
        <v>0.05</v>
      </c>
      <c r="K330" s="3">
        <v>134870.54999999999</v>
      </c>
      <c r="L330" s="3">
        <v>108526.8</v>
      </c>
      <c r="M330" s="3">
        <v>26343.75</v>
      </c>
    </row>
    <row r="331" spans="1:13" x14ac:dyDescent="0.3">
      <c r="A331" t="s">
        <v>1363</v>
      </c>
      <c r="B331" s="4">
        <v>45873</v>
      </c>
      <c r="C331" t="s">
        <v>1362</v>
      </c>
      <c r="D331" t="s">
        <v>53</v>
      </c>
      <c r="E331" t="s">
        <v>2</v>
      </c>
      <c r="F331" t="s">
        <v>13</v>
      </c>
      <c r="G331" t="s">
        <v>6</v>
      </c>
      <c r="H331">
        <v>3</v>
      </c>
      <c r="I331" s="3">
        <v>10078</v>
      </c>
      <c r="J331" s="2">
        <v>0.1</v>
      </c>
      <c r="K331" s="3">
        <v>27210.6</v>
      </c>
      <c r="L331" s="3">
        <v>17729.45</v>
      </c>
      <c r="M331" s="3">
        <v>9481.15</v>
      </c>
    </row>
    <row r="332" spans="1:13" x14ac:dyDescent="0.3">
      <c r="A332" t="s">
        <v>1361</v>
      </c>
      <c r="B332" s="4">
        <v>45516</v>
      </c>
      <c r="C332" t="s">
        <v>1360</v>
      </c>
      <c r="D332" t="s">
        <v>3</v>
      </c>
      <c r="E332" t="s">
        <v>2</v>
      </c>
      <c r="F332" t="s">
        <v>33</v>
      </c>
      <c r="G332" t="s">
        <v>6</v>
      </c>
      <c r="H332">
        <v>3</v>
      </c>
      <c r="I332" s="3">
        <v>56145</v>
      </c>
      <c r="J332" s="2">
        <v>0.15</v>
      </c>
      <c r="K332" s="3">
        <v>143169.75</v>
      </c>
      <c r="L332" s="3">
        <v>110498.82</v>
      </c>
      <c r="M332" s="3">
        <v>32670.93</v>
      </c>
    </row>
    <row r="333" spans="1:13" x14ac:dyDescent="0.3">
      <c r="A333" t="s">
        <v>1359</v>
      </c>
      <c r="B333" s="4">
        <v>45978</v>
      </c>
      <c r="C333" t="s">
        <v>1358</v>
      </c>
      <c r="D333" t="s">
        <v>3</v>
      </c>
      <c r="E333" t="s">
        <v>2</v>
      </c>
      <c r="F333" t="s">
        <v>13</v>
      </c>
      <c r="G333" t="s">
        <v>37</v>
      </c>
      <c r="H333">
        <v>1</v>
      </c>
      <c r="I333" s="3">
        <v>35835</v>
      </c>
      <c r="J333" s="2">
        <v>0.2</v>
      </c>
      <c r="K333" s="3">
        <v>28668</v>
      </c>
      <c r="L333" s="3">
        <v>17077.57</v>
      </c>
      <c r="M333" s="3">
        <v>11590.43</v>
      </c>
    </row>
    <row r="334" spans="1:13" x14ac:dyDescent="0.3">
      <c r="A334" t="s">
        <v>1357</v>
      </c>
      <c r="B334" s="4">
        <v>45926</v>
      </c>
      <c r="C334" t="s">
        <v>1356</v>
      </c>
      <c r="D334" t="s">
        <v>42</v>
      </c>
      <c r="E334" t="s">
        <v>8</v>
      </c>
      <c r="F334" t="s">
        <v>1</v>
      </c>
      <c r="G334" t="s">
        <v>37</v>
      </c>
      <c r="H334">
        <v>5</v>
      </c>
      <c r="I334" s="3">
        <v>16951</v>
      </c>
      <c r="J334" s="2">
        <v>0.2</v>
      </c>
      <c r="K334" s="3">
        <v>67804</v>
      </c>
      <c r="L334" s="3">
        <v>34226.339999999997</v>
      </c>
      <c r="M334" s="3">
        <v>33577.660000000003</v>
      </c>
    </row>
    <row r="335" spans="1:13" x14ac:dyDescent="0.3">
      <c r="A335" t="s">
        <v>1355</v>
      </c>
      <c r="B335" s="4">
        <v>46099</v>
      </c>
      <c r="C335" t="s">
        <v>1354</v>
      </c>
      <c r="D335" t="s">
        <v>25</v>
      </c>
      <c r="E335" t="s">
        <v>24</v>
      </c>
      <c r="F335" t="s">
        <v>13</v>
      </c>
      <c r="G335" t="s">
        <v>20</v>
      </c>
      <c r="H335">
        <v>5</v>
      </c>
      <c r="I335" s="3">
        <v>46554</v>
      </c>
      <c r="J335" s="2">
        <v>0.05</v>
      </c>
      <c r="K335" s="3">
        <v>221131.5</v>
      </c>
      <c r="L335" s="3">
        <v>119882.78</v>
      </c>
      <c r="M335" s="3">
        <v>101248.72</v>
      </c>
    </row>
    <row r="336" spans="1:13" x14ac:dyDescent="0.3">
      <c r="A336" t="s">
        <v>1353</v>
      </c>
      <c r="B336" s="4">
        <v>46070</v>
      </c>
      <c r="C336" t="s">
        <v>1352</v>
      </c>
      <c r="D336" t="s">
        <v>25</v>
      </c>
      <c r="E336" t="s">
        <v>24</v>
      </c>
      <c r="F336" t="s">
        <v>13</v>
      </c>
      <c r="G336" t="s">
        <v>12</v>
      </c>
      <c r="H336">
        <v>8</v>
      </c>
      <c r="I336" s="3">
        <v>70970</v>
      </c>
      <c r="J336" s="2">
        <v>0.05</v>
      </c>
      <c r="K336" s="3">
        <v>539372</v>
      </c>
      <c r="L336" s="3">
        <v>352744.97</v>
      </c>
      <c r="M336" s="3">
        <v>186627.03</v>
      </c>
    </row>
    <row r="337" spans="1:13" x14ac:dyDescent="0.3">
      <c r="A337" t="s">
        <v>1351</v>
      </c>
      <c r="B337" s="4">
        <v>46021</v>
      </c>
      <c r="C337" t="s">
        <v>1350</v>
      </c>
      <c r="D337" t="s">
        <v>56</v>
      </c>
      <c r="E337" t="s">
        <v>24</v>
      </c>
      <c r="F337" t="s">
        <v>23</v>
      </c>
      <c r="G337" t="s">
        <v>6</v>
      </c>
      <c r="H337">
        <v>10</v>
      </c>
      <c r="I337" s="3">
        <v>38788</v>
      </c>
      <c r="J337" s="2">
        <v>0.1</v>
      </c>
      <c r="K337" s="3">
        <v>349092</v>
      </c>
      <c r="L337" s="3">
        <v>204285.23</v>
      </c>
      <c r="M337" s="3">
        <v>144806.76999999999</v>
      </c>
    </row>
    <row r="338" spans="1:13" x14ac:dyDescent="0.3">
      <c r="A338" t="s">
        <v>1349</v>
      </c>
      <c r="B338" s="4">
        <v>45593</v>
      </c>
      <c r="C338" t="s">
        <v>1348</v>
      </c>
      <c r="D338" t="s">
        <v>28</v>
      </c>
      <c r="E338" t="s">
        <v>8</v>
      </c>
      <c r="F338" t="s">
        <v>1</v>
      </c>
      <c r="G338" t="s">
        <v>6</v>
      </c>
      <c r="H338">
        <v>14</v>
      </c>
      <c r="I338" s="3">
        <v>60525</v>
      </c>
      <c r="J338" s="2">
        <v>0.2</v>
      </c>
      <c r="K338" s="3">
        <v>677880</v>
      </c>
      <c r="L338" s="3">
        <v>503795.07</v>
      </c>
      <c r="M338" s="3">
        <v>174084.93</v>
      </c>
    </row>
    <row r="339" spans="1:13" x14ac:dyDescent="0.3">
      <c r="A339" t="s">
        <v>1347</v>
      </c>
      <c r="B339" s="4">
        <v>46141</v>
      </c>
      <c r="C339" t="s">
        <v>1346</v>
      </c>
      <c r="D339" t="s">
        <v>25</v>
      </c>
      <c r="E339" t="s">
        <v>24</v>
      </c>
      <c r="F339" t="s">
        <v>7</v>
      </c>
      <c r="G339" t="s">
        <v>20</v>
      </c>
      <c r="H339">
        <v>9</v>
      </c>
      <c r="I339" s="3">
        <v>49079</v>
      </c>
      <c r="J339" s="2">
        <v>0.15</v>
      </c>
      <c r="K339" s="3">
        <v>375454.35</v>
      </c>
      <c r="L339" s="3">
        <v>304918.98</v>
      </c>
      <c r="M339" s="3">
        <v>70535.37</v>
      </c>
    </row>
    <row r="340" spans="1:13" x14ac:dyDescent="0.3">
      <c r="A340" t="s">
        <v>1345</v>
      </c>
      <c r="B340" s="4">
        <v>45924</v>
      </c>
      <c r="C340" t="s">
        <v>1344</v>
      </c>
      <c r="D340" t="s">
        <v>56</v>
      </c>
      <c r="E340" t="s">
        <v>24</v>
      </c>
      <c r="F340" t="s">
        <v>1</v>
      </c>
      <c r="G340" t="s">
        <v>12</v>
      </c>
      <c r="H340">
        <v>14</v>
      </c>
      <c r="I340" s="3">
        <v>41698</v>
      </c>
      <c r="J340" s="2">
        <v>0</v>
      </c>
      <c r="K340" s="3">
        <v>583772</v>
      </c>
      <c r="L340" s="3">
        <v>341383.48</v>
      </c>
      <c r="M340" s="3">
        <v>242388.52</v>
      </c>
    </row>
    <row r="341" spans="1:13" x14ac:dyDescent="0.3">
      <c r="A341" t="s">
        <v>1343</v>
      </c>
      <c r="B341" s="4">
        <v>46049</v>
      </c>
      <c r="C341" t="s">
        <v>1342</v>
      </c>
      <c r="D341" t="s">
        <v>9</v>
      </c>
      <c r="E341" t="s">
        <v>8</v>
      </c>
      <c r="F341" t="s">
        <v>1</v>
      </c>
      <c r="G341" t="s">
        <v>12</v>
      </c>
      <c r="H341">
        <v>7</v>
      </c>
      <c r="I341" s="3">
        <v>52964</v>
      </c>
      <c r="J341" s="2">
        <v>0</v>
      </c>
      <c r="K341" s="3">
        <v>370748</v>
      </c>
      <c r="L341" s="3">
        <v>305298.81</v>
      </c>
      <c r="M341" s="3">
        <v>65449.19</v>
      </c>
    </row>
    <row r="342" spans="1:13" x14ac:dyDescent="0.3">
      <c r="A342" t="s">
        <v>1341</v>
      </c>
      <c r="B342" s="4">
        <v>45763</v>
      </c>
      <c r="C342" t="s">
        <v>1340</v>
      </c>
      <c r="D342" t="s">
        <v>34</v>
      </c>
      <c r="E342" t="s">
        <v>24</v>
      </c>
      <c r="F342" t="s">
        <v>1</v>
      </c>
      <c r="G342" t="s">
        <v>0</v>
      </c>
      <c r="H342">
        <v>6</v>
      </c>
      <c r="I342" s="3">
        <v>65409</v>
      </c>
      <c r="J342" s="2">
        <v>0.1</v>
      </c>
      <c r="K342" s="3">
        <v>353208.6</v>
      </c>
      <c r="L342" s="3">
        <v>211814.6</v>
      </c>
      <c r="M342" s="3">
        <v>141394</v>
      </c>
    </row>
    <row r="343" spans="1:13" x14ac:dyDescent="0.3">
      <c r="A343" t="s">
        <v>1339</v>
      </c>
      <c r="B343" s="4">
        <v>45471</v>
      </c>
      <c r="C343" t="s">
        <v>1338</v>
      </c>
      <c r="D343" t="s">
        <v>3</v>
      </c>
      <c r="E343" t="s">
        <v>2</v>
      </c>
      <c r="F343" t="s">
        <v>7</v>
      </c>
      <c r="G343" t="s">
        <v>16</v>
      </c>
      <c r="H343">
        <v>3</v>
      </c>
      <c r="I343" s="3">
        <v>73237</v>
      </c>
      <c r="J343" s="2">
        <v>0</v>
      </c>
      <c r="K343" s="3">
        <v>219711</v>
      </c>
      <c r="L343" s="3">
        <v>156450.38</v>
      </c>
      <c r="M343" s="3">
        <v>63260.62</v>
      </c>
    </row>
    <row r="344" spans="1:13" x14ac:dyDescent="0.3">
      <c r="A344" t="s">
        <v>1337</v>
      </c>
      <c r="B344" s="4">
        <v>45901</v>
      </c>
      <c r="C344" t="s">
        <v>1336</v>
      </c>
      <c r="D344" t="s">
        <v>42</v>
      </c>
      <c r="E344" t="s">
        <v>8</v>
      </c>
      <c r="F344" t="s">
        <v>23</v>
      </c>
      <c r="G344" t="s">
        <v>20</v>
      </c>
      <c r="H344">
        <v>9</v>
      </c>
      <c r="I344" s="3">
        <v>51841</v>
      </c>
      <c r="J344" s="2">
        <v>0.15</v>
      </c>
      <c r="K344" s="3">
        <v>396583.65</v>
      </c>
      <c r="L344" s="3">
        <v>247444.27</v>
      </c>
      <c r="M344" s="3">
        <v>149139.38</v>
      </c>
    </row>
    <row r="345" spans="1:13" x14ac:dyDescent="0.3">
      <c r="A345" t="s">
        <v>1335</v>
      </c>
      <c r="B345" s="4">
        <v>45458</v>
      </c>
      <c r="C345" t="s">
        <v>1334</v>
      </c>
      <c r="D345" t="s">
        <v>53</v>
      </c>
      <c r="E345" t="s">
        <v>2</v>
      </c>
      <c r="F345" t="s">
        <v>7</v>
      </c>
      <c r="G345" t="s">
        <v>12</v>
      </c>
      <c r="H345">
        <v>12</v>
      </c>
      <c r="I345" s="3">
        <v>21253</v>
      </c>
      <c r="J345" s="2">
        <v>0.15</v>
      </c>
      <c r="K345" s="3">
        <v>216780.6</v>
      </c>
      <c r="L345" s="3">
        <v>133960.76999999999</v>
      </c>
      <c r="M345" s="3">
        <v>82819.83</v>
      </c>
    </row>
    <row r="346" spans="1:13" x14ac:dyDescent="0.3">
      <c r="A346" t="s">
        <v>1333</v>
      </c>
      <c r="B346" s="4">
        <v>45510</v>
      </c>
      <c r="C346" t="s">
        <v>1332</v>
      </c>
      <c r="D346" t="s">
        <v>42</v>
      </c>
      <c r="E346" t="s">
        <v>8</v>
      </c>
      <c r="F346" t="s">
        <v>33</v>
      </c>
      <c r="G346" t="s">
        <v>0</v>
      </c>
      <c r="H346">
        <v>10</v>
      </c>
      <c r="I346" s="3">
        <v>37273</v>
      </c>
      <c r="J346" s="2">
        <v>0.2</v>
      </c>
      <c r="K346" s="3">
        <v>298184</v>
      </c>
      <c r="L346" s="3">
        <v>159012.01999999999</v>
      </c>
      <c r="M346" s="3">
        <v>139171.98000000001</v>
      </c>
    </row>
    <row r="347" spans="1:13" x14ac:dyDescent="0.3">
      <c r="A347" t="s">
        <v>1331</v>
      </c>
      <c r="B347" s="4">
        <v>45602</v>
      </c>
      <c r="C347" t="s">
        <v>1330</v>
      </c>
      <c r="D347" t="s">
        <v>9</v>
      </c>
      <c r="E347" t="s">
        <v>8</v>
      </c>
      <c r="F347" t="s">
        <v>23</v>
      </c>
      <c r="G347" t="s">
        <v>16</v>
      </c>
      <c r="H347">
        <v>11</v>
      </c>
      <c r="I347" s="3">
        <v>17681</v>
      </c>
      <c r="J347" s="2">
        <v>0.15</v>
      </c>
      <c r="K347" s="3">
        <v>165317.35</v>
      </c>
      <c r="L347" s="3">
        <v>133045.6</v>
      </c>
      <c r="M347" s="3">
        <v>32271.75</v>
      </c>
    </row>
    <row r="348" spans="1:13" x14ac:dyDescent="0.3">
      <c r="A348" t="s">
        <v>1329</v>
      </c>
      <c r="B348" s="4">
        <v>45657</v>
      </c>
      <c r="C348" t="s">
        <v>1328</v>
      </c>
      <c r="D348" t="s">
        <v>9</v>
      </c>
      <c r="E348" t="s">
        <v>8</v>
      </c>
      <c r="F348" t="s">
        <v>13</v>
      </c>
      <c r="G348" t="s">
        <v>12</v>
      </c>
      <c r="H348">
        <v>2</v>
      </c>
      <c r="I348" s="3">
        <v>66258</v>
      </c>
      <c r="J348" s="2">
        <v>0.15</v>
      </c>
      <c r="K348" s="3">
        <v>112638.6</v>
      </c>
      <c r="L348" s="3">
        <v>94273.99</v>
      </c>
      <c r="M348" s="3">
        <v>18364.61</v>
      </c>
    </row>
    <row r="349" spans="1:13" x14ac:dyDescent="0.3">
      <c r="A349" t="s">
        <v>1327</v>
      </c>
      <c r="B349" s="4">
        <v>46026</v>
      </c>
      <c r="C349" t="s">
        <v>1326</v>
      </c>
      <c r="D349" t="s">
        <v>56</v>
      </c>
      <c r="E349" t="s">
        <v>24</v>
      </c>
      <c r="F349" t="s">
        <v>33</v>
      </c>
      <c r="G349" t="s">
        <v>0</v>
      </c>
      <c r="H349">
        <v>14</v>
      </c>
      <c r="I349" s="3">
        <v>15552</v>
      </c>
      <c r="J349" s="2">
        <v>0.15</v>
      </c>
      <c r="K349" s="3">
        <v>185068.79999999999</v>
      </c>
      <c r="L349" s="3">
        <v>147701.53</v>
      </c>
      <c r="M349" s="3">
        <v>37367.269999999997</v>
      </c>
    </row>
    <row r="350" spans="1:13" x14ac:dyDescent="0.3">
      <c r="A350" t="s">
        <v>1325</v>
      </c>
      <c r="B350" s="4">
        <v>45508</v>
      </c>
      <c r="C350" t="s">
        <v>1324</v>
      </c>
      <c r="D350" t="s">
        <v>28</v>
      </c>
      <c r="E350" t="s">
        <v>8</v>
      </c>
      <c r="F350" t="s">
        <v>13</v>
      </c>
      <c r="G350" t="s">
        <v>16</v>
      </c>
      <c r="H350">
        <v>5</v>
      </c>
      <c r="I350" s="3">
        <v>47262</v>
      </c>
      <c r="J350" s="2">
        <v>0.15</v>
      </c>
      <c r="K350" s="3">
        <v>200863.5</v>
      </c>
      <c r="L350" s="3">
        <v>137419.26999999999</v>
      </c>
      <c r="M350" s="3">
        <v>63444.23</v>
      </c>
    </row>
    <row r="351" spans="1:13" x14ac:dyDescent="0.3">
      <c r="A351" t="s">
        <v>1323</v>
      </c>
      <c r="B351" s="4">
        <v>45703</v>
      </c>
      <c r="C351" t="s">
        <v>1322</v>
      </c>
      <c r="D351" t="s">
        <v>28</v>
      </c>
      <c r="E351" t="s">
        <v>8</v>
      </c>
      <c r="F351" t="s">
        <v>1</v>
      </c>
      <c r="G351" t="s">
        <v>20</v>
      </c>
      <c r="H351">
        <v>1</v>
      </c>
      <c r="I351" s="3">
        <v>66476</v>
      </c>
      <c r="J351" s="2">
        <v>0.15</v>
      </c>
      <c r="K351" s="3">
        <v>56504.6</v>
      </c>
      <c r="L351" s="3">
        <v>37033.730000000003</v>
      </c>
      <c r="M351" s="3">
        <v>19470.87</v>
      </c>
    </row>
    <row r="352" spans="1:13" x14ac:dyDescent="0.3">
      <c r="A352" t="s">
        <v>1321</v>
      </c>
      <c r="B352" s="4">
        <v>45557</v>
      </c>
      <c r="C352" t="s">
        <v>1320</v>
      </c>
      <c r="D352" t="s">
        <v>25</v>
      </c>
      <c r="E352" t="s">
        <v>24</v>
      </c>
      <c r="F352" t="s">
        <v>7</v>
      </c>
      <c r="G352" t="s">
        <v>0</v>
      </c>
      <c r="H352">
        <v>7</v>
      </c>
      <c r="I352" s="3">
        <v>50414</v>
      </c>
      <c r="J352" s="2">
        <v>0.2</v>
      </c>
      <c r="K352" s="3">
        <v>282318.40000000002</v>
      </c>
      <c r="L352" s="3">
        <v>164077.25</v>
      </c>
      <c r="M352" s="3">
        <v>118241.15</v>
      </c>
    </row>
    <row r="353" spans="1:13" x14ac:dyDescent="0.3">
      <c r="A353" t="s">
        <v>1319</v>
      </c>
      <c r="B353" s="4">
        <v>45821</v>
      </c>
      <c r="C353" t="s">
        <v>1318</v>
      </c>
      <c r="D353" t="s">
        <v>42</v>
      </c>
      <c r="E353" t="s">
        <v>8</v>
      </c>
      <c r="F353" t="s">
        <v>23</v>
      </c>
      <c r="G353" t="s">
        <v>37</v>
      </c>
      <c r="H353">
        <v>6</v>
      </c>
      <c r="I353" s="3">
        <v>27779</v>
      </c>
      <c r="J353" s="2">
        <v>0.15</v>
      </c>
      <c r="K353" s="3">
        <v>141672.9</v>
      </c>
      <c r="L353" s="3">
        <v>115029.73</v>
      </c>
      <c r="M353" s="3">
        <v>26643.17</v>
      </c>
    </row>
    <row r="354" spans="1:13" x14ac:dyDescent="0.3">
      <c r="A354" t="s">
        <v>1317</v>
      </c>
      <c r="B354" s="4">
        <v>45814</v>
      </c>
      <c r="C354" t="s">
        <v>1316</v>
      </c>
      <c r="D354" t="s">
        <v>17</v>
      </c>
      <c r="E354" t="s">
        <v>2</v>
      </c>
      <c r="F354" t="s">
        <v>7</v>
      </c>
      <c r="G354" t="s">
        <v>20</v>
      </c>
      <c r="H354">
        <v>10</v>
      </c>
      <c r="I354" s="3">
        <v>66187</v>
      </c>
      <c r="J354" s="2">
        <v>0.1</v>
      </c>
      <c r="K354" s="3">
        <v>595683</v>
      </c>
      <c r="L354" s="3">
        <v>489716.44</v>
      </c>
      <c r="M354" s="3">
        <v>105966.56</v>
      </c>
    </row>
    <row r="355" spans="1:13" x14ac:dyDescent="0.3">
      <c r="A355" t="s">
        <v>1315</v>
      </c>
      <c r="B355" s="4">
        <v>45921</v>
      </c>
      <c r="C355" t="s">
        <v>1314</v>
      </c>
      <c r="D355" t="s">
        <v>28</v>
      </c>
      <c r="E355" t="s">
        <v>8</v>
      </c>
      <c r="F355" t="s">
        <v>7</v>
      </c>
      <c r="G355" t="s">
        <v>37</v>
      </c>
      <c r="H355">
        <v>9</v>
      </c>
      <c r="I355" s="3">
        <v>68799</v>
      </c>
      <c r="J355" s="2">
        <v>0.15</v>
      </c>
      <c r="K355" s="3">
        <v>526312.35</v>
      </c>
      <c r="L355" s="3">
        <v>334908.94</v>
      </c>
      <c r="M355" s="3">
        <v>191403.41</v>
      </c>
    </row>
    <row r="356" spans="1:13" x14ac:dyDescent="0.3">
      <c r="A356" t="s">
        <v>1313</v>
      </c>
      <c r="B356" s="4">
        <v>46126</v>
      </c>
      <c r="C356" t="s">
        <v>1312</v>
      </c>
      <c r="D356" t="s">
        <v>9</v>
      </c>
      <c r="E356" t="s">
        <v>8</v>
      </c>
      <c r="F356" t="s">
        <v>13</v>
      </c>
      <c r="G356" t="s">
        <v>12</v>
      </c>
      <c r="H356">
        <v>6</v>
      </c>
      <c r="I356" s="3">
        <v>60384</v>
      </c>
      <c r="J356" s="2">
        <v>0</v>
      </c>
      <c r="K356" s="3">
        <v>362304</v>
      </c>
      <c r="L356" s="3">
        <v>266933.64</v>
      </c>
      <c r="M356" s="3">
        <v>95370.36</v>
      </c>
    </row>
    <row r="357" spans="1:13" x14ac:dyDescent="0.3">
      <c r="A357" t="s">
        <v>1311</v>
      </c>
      <c r="B357" s="4">
        <v>45453</v>
      </c>
      <c r="C357" t="s">
        <v>1310</v>
      </c>
      <c r="D357" t="s">
        <v>17</v>
      </c>
      <c r="E357" t="s">
        <v>2</v>
      </c>
      <c r="F357" t="s">
        <v>13</v>
      </c>
      <c r="G357" t="s">
        <v>12</v>
      </c>
      <c r="H357">
        <v>6</v>
      </c>
      <c r="I357" s="3">
        <v>66655</v>
      </c>
      <c r="J357" s="2">
        <v>0.15</v>
      </c>
      <c r="K357" s="3">
        <v>339940.5</v>
      </c>
      <c r="L357" s="3">
        <v>247132.57</v>
      </c>
      <c r="M357" s="3">
        <v>92807.93</v>
      </c>
    </row>
    <row r="358" spans="1:13" x14ac:dyDescent="0.3">
      <c r="A358" t="s">
        <v>1309</v>
      </c>
      <c r="B358" s="4">
        <v>45857</v>
      </c>
      <c r="C358" t="s">
        <v>1308</v>
      </c>
      <c r="D358" t="s">
        <v>17</v>
      </c>
      <c r="E358" t="s">
        <v>2</v>
      </c>
      <c r="F358" t="s">
        <v>13</v>
      </c>
      <c r="G358" t="s">
        <v>0</v>
      </c>
      <c r="H358">
        <v>8</v>
      </c>
      <c r="I358" s="3">
        <v>53643</v>
      </c>
      <c r="J358" s="2">
        <v>0.15</v>
      </c>
      <c r="K358" s="3">
        <v>364772.4</v>
      </c>
      <c r="L358" s="3">
        <v>280351.23</v>
      </c>
      <c r="M358" s="3">
        <v>84421.17</v>
      </c>
    </row>
    <row r="359" spans="1:13" x14ac:dyDescent="0.3">
      <c r="A359" t="s">
        <v>1307</v>
      </c>
      <c r="B359" s="4">
        <v>45615</v>
      </c>
      <c r="C359" t="s">
        <v>1306</v>
      </c>
      <c r="D359" t="s">
        <v>9</v>
      </c>
      <c r="E359" t="s">
        <v>8</v>
      </c>
      <c r="F359" t="s">
        <v>7</v>
      </c>
      <c r="G359" t="s">
        <v>37</v>
      </c>
      <c r="H359">
        <v>12</v>
      </c>
      <c r="I359" s="3">
        <v>13090</v>
      </c>
      <c r="J359" s="2">
        <v>0.05</v>
      </c>
      <c r="K359" s="3">
        <v>149226</v>
      </c>
      <c r="L359" s="3">
        <v>93557.38</v>
      </c>
      <c r="M359" s="3">
        <v>55668.62</v>
      </c>
    </row>
    <row r="360" spans="1:13" x14ac:dyDescent="0.3">
      <c r="A360" t="s">
        <v>1305</v>
      </c>
      <c r="B360" s="4">
        <v>45969</v>
      </c>
      <c r="C360" t="s">
        <v>1304</v>
      </c>
      <c r="D360" t="s">
        <v>34</v>
      </c>
      <c r="E360" t="s">
        <v>24</v>
      </c>
      <c r="F360" t="s">
        <v>13</v>
      </c>
      <c r="G360" t="s">
        <v>16</v>
      </c>
      <c r="H360">
        <v>3</v>
      </c>
      <c r="I360" s="3">
        <v>15484</v>
      </c>
      <c r="J360" s="2">
        <v>0.1</v>
      </c>
      <c r="K360" s="3">
        <v>41806.800000000003</v>
      </c>
      <c r="L360" s="3">
        <v>30998.09</v>
      </c>
      <c r="M360" s="3">
        <v>10808.71</v>
      </c>
    </row>
    <row r="361" spans="1:13" x14ac:dyDescent="0.3">
      <c r="A361" t="s">
        <v>1303</v>
      </c>
      <c r="B361" s="4">
        <v>45687</v>
      </c>
      <c r="C361" t="s">
        <v>1302</v>
      </c>
      <c r="D361" t="s">
        <v>42</v>
      </c>
      <c r="E361" t="s">
        <v>8</v>
      </c>
      <c r="F361" t="s">
        <v>1</v>
      </c>
      <c r="G361" t="s">
        <v>16</v>
      </c>
      <c r="H361">
        <v>9</v>
      </c>
      <c r="I361" s="3">
        <v>39001</v>
      </c>
      <c r="J361" s="2">
        <v>0.2</v>
      </c>
      <c r="K361" s="3">
        <v>280807.2</v>
      </c>
      <c r="L361" s="3">
        <v>160826.14000000001</v>
      </c>
      <c r="M361" s="3">
        <v>119981.06</v>
      </c>
    </row>
    <row r="362" spans="1:13" x14ac:dyDescent="0.3">
      <c r="A362" t="s">
        <v>1301</v>
      </c>
      <c r="B362" s="4">
        <v>45864</v>
      </c>
      <c r="C362" t="s">
        <v>1300</v>
      </c>
      <c r="D362" t="s">
        <v>3</v>
      </c>
      <c r="E362" t="s">
        <v>2</v>
      </c>
      <c r="F362" t="s">
        <v>23</v>
      </c>
      <c r="G362" t="s">
        <v>6</v>
      </c>
      <c r="H362">
        <v>11</v>
      </c>
      <c r="I362" s="3">
        <v>14974</v>
      </c>
      <c r="J362" s="2">
        <v>0.1</v>
      </c>
      <c r="K362" s="3">
        <v>148242.6</v>
      </c>
      <c r="L362" s="3">
        <v>103688.8</v>
      </c>
      <c r="M362" s="3">
        <v>44553.8</v>
      </c>
    </row>
    <row r="363" spans="1:13" x14ac:dyDescent="0.3">
      <c r="A363" t="s">
        <v>1299</v>
      </c>
      <c r="B363" s="4">
        <v>46034</v>
      </c>
      <c r="C363" t="s">
        <v>1298</v>
      </c>
      <c r="D363" t="s">
        <v>25</v>
      </c>
      <c r="E363" t="s">
        <v>24</v>
      </c>
      <c r="F363" t="s">
        <v>13</v>
      </c>
      <c r="G363" t="s">
        <v>37</v>
      </c>
      <c r="H363">
        <v>13</v>
      </c>
      <c r="I363" s="3">
        <v>1364</v>
      </c>
      <c r="J363" s="2">
        <v>0.1</v>
      </c>
      <c r="K363" s="3">
        <v>15958.8</v>
      </c>
      <c r="L363" s="3">
        <v>11948.72</v>
      </c>
      <c r="M363" s="3">
        <v>4010.08</v>
      </c>
    </row>
    <row r="364" spans="1:13" x14ac:dyDescent="0.3">
      <c r="A364" t="s">
        <v>1297</v>
      </c>
      <c r="B364" s="4">
        <v>45933</v>
      </c>
      <c r="C364" t="s">
        <v>1296</v>
      </c>
      <c r="D364" t="s">
        <v>56</v>
      </c>
      <c r="E364" t="s">
        <v>24</v>
      </c>
      <c r="F364" t="s">
        <v>23</v>
      </c>
      <c r="G364" t="s">
        <v>12</v>
      </c>
      <c r="H364">
        <v>14</v>
      </c>
      <c r="I364" s="3">
        <v>13910</v>
      </c>
      <c r="J364" s="2">
        <v>0.2</v>
      </c>
      <c r="K364" s="3">
        <v>155792</v>
      </c>
      <c r="L364" s="3">
        <v>78737.960000000006</v>
      </c>
      <c r="M364" s="3">
        <v>77054.039999999994</v>
      </c>
    </row>
    <row r="365" spans="1:13" x14ac:dyDescent="0.3">
      <c r="A365" t="s">
        <v>1295</v>
      </c>
      <c r="B365" s="4">
        <v>45668</v>
      </c>
      <c r="C365" t="s">
        <v>1294</v>
      </c>
      <c r="D365" t="s">
        <v>17</v>
      </c>
      <c r="E365" t="s">
        <v>2</v>
      </c>
      <c r="F365" t="s">
        <v>13</v>
      </c>
      <c r="G365" t="s">
        <v>20</v>
      </c>
      <c r="H365">
        <v>13</v>
      </c>
      <c r="I365" s="3">
        <v>73515</v>
      </c>
      <c r="J365" s="2">
        <v>0.2</v>
      </c>
      <c r="K365" s="3">
        <v>764556</v>
      </c>
      <c r="L365" s="3">
        <v>453463.13</v>
      </c>
      <c r="M365" s="3">
        <v>311092.87</v>
      </c>
    </row>
    <row r="366" spans="1:13" x14ac:dyDescent="0.3">
      <c r="A366" t="s">
        <v>1293</v>
      </c>
      <c r="B366" s="4">
        <v>45995</v>
      </c>
      <c r="C366" t="s">
        <v>1292</v>
      </c>
      <c r="D366" t="s">
        <v>53</v>
      </c>
      <c r="E366" t="s">
        <v>2</v>
      </c>
      <c r="F366" t="s">
        <v>1</v>
      </c>
      <c r="G366" t="s">
        <v>20</v>
      </c>
      <c r="H366">
        <v>4</v>
      </c>
      <c r="I366" s="3">
        <v>54883</v>
      </c>
      <c r="J366" s="2">
        <v>0.2</v>
      </c>
      <c r="K366" s="3">
        <v>175625.60000000001</v>
      </c>
      <c r="L366" s="3">
        <v>95281.36</v>
      </c>
      <c r="M366" s="3">
        <v>80344.240000000005</v>
      </c>
    </row>
    <row r="367" spans="1:13" x14ac:dyDescent="0.3">
      <c r="A367" t="s">
        <v>1291</v>
      </c>
      <c r="B367" s="4">
        <v>45839</v>
      </c>
      <c r="C367" t="s">
        <v>1290</v>
      </c>
      <c r="D367" t="s">
        <v>42</v>
      </c>
      <c r="E367" t="s">
        <v>8</v>
      </c>
      <c r="F367" t="s">
        <v>13</v>
      </c>
      <c r="G367" t="s">
        <v>16</v>
      </c>
      <c r="H367">
        <v>1</v>
      </c>
      <c r="I367" s="3">
        <v>14120</v>
      </c>
      <c r="J367" s="2">
        <v>0</v>
      </c>
      <c r="K367" s="3">
        <v>14120</v>
      </c>
      <c r="L367" s="3">
        <v>7902.79</v>
      </c>
      <c r="M367" s="3">
        <v>6217.21</v>
      </c>
    </row>
    <row r="368" spans="1:13" x14ac:dyDescent="0.3">
      <c r="A368" t="s">
        <v>1289</v>
      </c>
      <c r="B368" s="4">
        <v>45634</v>
      </c>
      <c r="C368" t="s">
        <v>1288</v>
      </c>
      <c r="D368" t="s">
        <v>34</v>
      </c>
      <c r="E368" t="s">
        <v>24</v>
      </c>
      <c r="F368" t="s">
        <v>13</v>
      </c>
      <c r="G368" t="s">
        <v>0</v>
      </c>
      <c r="H368">
        <v>7</v>
      </c>
      <c r="I368" s="3">
        <v>9141</v>
      </c>
      <c r="J368" s="2">
        <v>0</v>
      </c>
      <c r="K368" s="3">
        <v>63987</v>
      </c>
      <c r="L368" s="3">
        <v>47324.63</v>
      </c>
      <c r="M368" s="3">
        <v>16662.37</v>
      </c>
    </row>
    <row r="369" spans="1:13" x14ac:dyDescent="0.3">
      <c r="A369" t="s">
        <v>1287</v>
      </c>
      <c r="B369" s="4">
        <v>45945</v>
      </c>
      <c r="C369" t="s">
        <v>1286</v>
      </c>
      <c r="D369" t="s">
        <v>53</v>
      </c>
      <c r="E369" t="s">
        <v>2</v>
      </c>
      <c r="F369" t="s">
        <v>7</v>
      </c>
      <c r="G369" t="s">
        <v>6</v>
      </c>
      <c r="H369">
        <v>4</v>
      </c>
      <c r="I369" s="3">
        <v>47379</v>
      </c>
      <c r="J369" s="2">
        <v>0.1</v>
      </c>
      <c r="K369" s="3">
        <v>170564.4</v>
      </c>
      <c r="L369" s="3">
        <v>95395.839999999997</v>
      </c>
      <c r="M369" s="3">
        <v>75168.56</v>
      </c>
    </row>
    <row r="370" spans="1:13" x14ac:dyDescent="0.3">
      <c r="A370" t="s">
        <v>1285</v>
      </c>
      <c r="B370" s="4">
        <v>46051</v>
      </c>
      <c r="C370" t="s">
        <v>1284</v>
      </c>
      <c r="D370" t="s">
        <v>53</v>
      </c>
      <c r="E370" t="s">
        <v>2</v>
      </c>
      <c r="F370" t="s">
        <v>33</v>
      </c>
      <c r="G370" t="s">
        <v>37</v>
      </c>
      <c r="H370">
        <v>2</v>
      </c>
      <c r="I370" s="3">
        <v>46730</v>
      </c>
      <c r="J370" s="2">
        <v>0.05</v>
      </c>
      <c r="K370" s="3">
        <v>88787</v>
      </c>
      <c r="L370" s="3">
        <v>58372.43</v>
      </c>
      <c r="M370" s="3">
        <v>30414.57</v>
      </c>
    </row>
    <row r="371" spans="1:13" x14ac:dyDescent="0.3">
      <c r="A371" t="s">
        <v>1283</v>
      </c>
      <c r="B371" s="4">
        <v>45518</v>
      </c>
      <c r="C371" t="s">
        <v>1282</v>
      </c>
      <c r="D371" t="s">
        <v>3</v>
      </c>
      <c r="E371" t="s">
        <v>2</v>
      </c>
      <c r="F371" t="s">
        <v>23</v>
      </c>
      <c r="G371" t="s">
        <v>16</v>
      </c>
      <c r="H371">
        <v>15</v>
      </c>
      <c r="I371" s="3">
        <v>52903</v>
      </c>
      <c r="J371" s="2">
        <v>0.2</v>
      </c>
      <c r="K371" s="3">
        <v>634836</v>
      </c>
      <c r="L371" s="3">
        <v>487185.56</v>
      </c>
      <c r="M371" s="3">
        <v>147650.44</v>
      </c>
    </row>
    <row r="372" spans="1:13" x14ac:dyDescent="0.3">
      <c r="A372" t="s">
        <v>1281</v>
      </c>
      <c r="B372" s="4">
        <v>45735</v>
      </c>
      <c r="C372" t="s">
        <v>1280</v>
      </c>
      <c r="D372" t="s">
        <v>53</v>
      </c>
      <c r="E372" t="s">
        <v>2</v>
      </c>
      <c r="F372" t="s">
        <v>13</v>
      </c>
      <c r="G372" t="s">
        <v>12</v>
      </c>
      <c r="H372">
        <v>4</v>
      </c>
      <c r="I372" s="3">
        <v>33680</v>
      </c>
      <c r="J372" s="2">
        <v>0.05</v>
      </c>
      <c r="K372" s="3">
        <v>127984</v>
      </c>
      <c r="L372" s="3">
        <v>65962</v>
      </c>
      <c r="M372" s="3">
        <v>62022</v>
      </c>
    </row>
    <row r="373" spans="1:13" x14ac:dyDescent="0.3">
      <c r="A373" t="s">
        <v>1279</v>
      </c>
      <c r="B373" s="4">
        <v>45773</v>
      </c>
      <c r="C373" t="s">
        <v>1278</v>
      </c>
      <c r="D373" t="s">
        <v>25</v>
      </c>
      <c r="E373" t="s">
        <v>24</v>
      </c>
      <c r="F373" t="s">
        <v>7</v>
      </c>
      <c r="G373" t="s">
        <v>16</v>
      </c>
      <c r="H373">
        <v>15</v>
      </c>
      <c r="I373" s="3">
        <v>60695</v>
      </c>
      <c r="J373" s="2">
        <v>0.1</v>
      </c>
      <c r="K373" s="3">
        <v>819382.5</v>
      </c>
      <c r="L373" s="3">
        <v>529674.86</v>
      </c>
      <c r="M373" s="3">
        <v>289707.64</v>
      </c>
    </row>
    <row r="374" spans="1:13" x14ac:dyDescent="0.3">
      <c r="A374" t="s">
        <v>1277</v>
      </c>
      <c r="B374" s="4">
        <v>45793</v>
      </c>
      <c r="C374" t="s">
        <v>1276</v>
      </c>
      <c r="D374" t="s">
        <v>3</v>
      </c>
      <c r="E374" t="s">
        <v>2</v>
      </c>
      <c r="F374" t="s">
        <v>7</v>
      </c>
      <c r="G374" t="s">
        <v>16</v>
      </c>
      <c r="H374">
        <v>11</v>
      </c>
      <c r="I374" s="3">
        <v>52091</v>
      </c>
      <c r="J374" s="2">
        <v>0.2</v>
      </c>
      <c r="K374" s="3">
        <v>458400.8</v>
      </c>
      <c r="L374" s="3">
        <v>264721.61</v>
      </c>
      <c r="M374" s="3">
        <v>193679.19</v>
      </c>
    </row>
    <row r="375" spans="1:13" x14ac:dyDescent="0.3">
      <c r="A375" t="s">
        <v>1275</v>
      </c>
      <c r="B375" s="4">
        <v>45438</v>
      </c>
      <c r="C375" t="s">
        <v>1274</v>
      </c>
      <c r="D375" t="s">
        <v>28</v>
      </c>
      <c r="E375" t="s">
        <v>8</v>
      </c>
      <c r="F375" t="s">
        <v>7</v>
      </c>
      <c r="G375" t="s">
        <v>16</v>
      </c>
      <c r="H375">
        <v>1</v>
      </c>
      <c r="I375" s="3">
        <v>32901</v>
      </c>
      <c r="J375" s="2">
        <v>0</v>
      </c>
      <c r="K375" s="3">
        <v>32901</v>
      </c>
      <c r="L375" s="3">
        <v>18448.04</v>
      </c>
      <c r="M375" s="3">
        <v>14452.96</v>
      </c>
    </row>
    <row r="376" spans="1:13" x14ac:dyDescent="0.3">
      <c r="A376" t="s">
        <v>1273</v>
      </c>
      <c r="B376" s="4">
        <v>45879</v>
      </c>
      <c r="C376" t="s">
        <v>1272</v>
      </c>
      <c r="D376" t="s">
        <v>3</v>
      </c>
      <c r="E376" t="s">
        <v>2</v>
      </c>
      <c r="F376" t="s">
        <v>23</v>
      </c>
      <c r="G376" t="s">
        <v>0</v>
      </c>
      <c r="H376">
        <v>15</v>
      </c>
      <c r="I376" s="3">
        <v>39102</v>
      </c>
      <c r="J376" s="2">
        <v>0.15</v>
      </c>
      <c r="K376" s="3">
        <v>498550.5</v>
      </c>
      <c r="L376" s="3">
        <v>347258.82</v>
      </c>
      <c r="M376" s="3">
        <v>151291.68</v>
      </c>
    </row>
    <row r="377" spans="1:13" x14ac:dyDescent="0.3">
      <c r="A377" t="s">
        <v>1271</v>
      </c>
      <c r="B377" s="4">
        <v>45952</v>
      </c>
      <c r="C377" t="s">
        <v>1270</v>
      </c>
      <c r="D377" t="s">
        <v>28</v>
      </c>
      <c r="E377" t="s">
        <v>8</v>
      </c>
      <c r="F377" t="s">
        <v>33</v>
      </c>
      <c r="G377" t="s">
        <v>0</v>
      </c>
      <c r="H377">
        <v>6</v>
      </c>
      <c r="I377" s="3">
        <v>53847</v>
      </c>
      <c r="J377" s="2">
        <v>0</v>
      </c>
      <c r="K377" s="3">
        <v>323082</v>
      </c>
      <c r="L377" s="3">
        <v>270235.48</v>
      </c>
      <c r="M377" s="3">
        <v>52846.52</v>
      </c>
    </row>
    <row r="378" spans="1:13" x14ac:dyDescent="0.3">
      <c r="A378" t="s">
        <v>1269</v>
      </c>
      <c r="B378" s="4">
        <v>45977</v>
      </c>
      <c r="C378" t="s">
        <v>1268</v>
      </c>
      <c r="D378" t="s">
        <v>42</v>
      </c>
      <c r="E378" t="s">
        <v>8</v>
      </c>
      <c r="F378" t="s">
        <v>1</v>
      </c>
      <c r="G378" t="s">
        <v>16</v>
      </c>
      <c r="H378">
        <v>7</v>
      </c>
      <c r="I378" s="3">
        <v>26060</v>
      </c>
      <c r="J378" s="2">
        <v>0.15</v>
      </c>
      <c r="K378" s="3">
        <v>155057</v>
      </c>
      <c r="L378" s="3">
        <v>92918.74</v>
      </c>
      <c r="M378" s="3">
        <v>62138.26</v>
      </c>
    </row>
    <row r="379" spans="1:13" x14ac:dyDescent="0.3">
      <c r="A379" t="s">
        <v>1267</v>
      </c>
      <c r="B379" s="4">
        <v>45530</v>
      </c>
      <c r="C379" t="s">
        <v>1266</v>
      </c>
      <c r="D379" t="s">
        <v>17</v>
      </c>
      <c r="E379" t="s">
        <v>2</v>
      </c>
      <c r="F379" t="s">
        <v>1</v>
      </c>
      <c r="G379" t="s">
        <v>6</v>
      </c>
      <c r="H379">
        <v>11</v>
      </c>
      <c r="I379" s="3">
        <v>4314</v>
      </c>
      <c r="J379" s="2">
        <v>0.1</v>
      </c>
      <c r="K379" s="3">
        <v>42708.6</v>
      </c>
      <c r="L379" s="3">
        <v>33385.519999999997</v>
      </c>
      <c r="M379" s="3">
        <v>9323.08</v>
      </c>
    </row>
    <row r="380" spans="1:13" x14ac:dyDescent="0.3">
      <c r="A380" t="s">
        <v>1265</v>
      </c>
      <c r="B380" s="4">
        <v>45510</v>
      </c>
      <c r="C380" t="s">
        <v>1264</v>
      </c>
      <c r="D380" t="s">
        <v>3</v>
      </c>
      <c r="E380" t="s">
        <v>2</v>
      </c>
      <c r="F380" t="s">
        <v>1</v>
      </c>
      <c r="G380" t="s">
        <v>20</v>
      </c>
      <c r="H380">
        <v>4</v>
      </c>
      <c r="I380" s="3">
        <v>36345</v>
      </c>
      <c r="J380" s="2">
        <v>0.2</v>
      </c>
      <c r="K380" s="3">
        <v>116304</v>
      </c>
      <c r="L380" s="3">
        <v>92142.17</v>
      </c>
      <c r="M380" s="3">
        <v>24161.83</v>
      </c>
    </row>
    <row r="381" spans="1:13" x14ac:dyDescent="0.3">
      <c r="A381" t="s">
        <v>1263</v>
      </c>
      <c r="B381" s="4">
        <v>45987</v>
      </c>
      <c r="C381" t="s">
        <v>1262</v>
      </c>
      <c r="D381" t="s">
        <v>56</v>
      </c>
      <c r="E381" t="s">
        <v>24</v>
      </c>
      <c r="F381" t="s">
        <v>1</v>
      </c>
      <c r="G381" t="s">
        <v>6</v>
      </c>
      <c r="H381">
        <v>14</v>
      </c>
      <c r="I381" s="3">
        <v>32481</v>
      </c>
      <c r="J381" s="2">
        <v>0.05</v>
      </c>
      <c r="K381" s="3">
        <v>431997.3</v>
      </c>
      <c r="L381" s="3">
        <v>271627.38</v>
      </c>
      <c r="M381" s="3">
        <v>160369.92000000001</v>
      </c>
    </row>
    <row r="382" spans="1:13" x14ac:dyDescent="0.3">
      <c r="A382" t="s">
        <v>1261</v>
      </c>
      <c r="B382" s="4">
        <v>45787</v>
      </c>
      <c r="C382" t="s">
        <v>1260</v>
      </c>
      <c r="D382" t="s">
        <v>56</v>
      </c>
      <c r="E382" t="s">
        <v>24</v>
      </c>
      <c r="F382" t="s">
        <v>13</v>
      </c>
      <c r="G382" t="s">
        <v>12</v>
      </c>
      <c r="H382">
        <v>11</v>
      </c>
      <c r="I382" s="3">
        <v>28270</v>
      </c>
      <c r="J382" s="2">
        <v>0.1</v>
      </c>
      <c r="K382" s="3">
        <v>279873</v>
      </c>
      <c r="L382" s="3">
        <v>233086.26</v>
      </c>
      <c r="M382" s="3">
        <v>46786.74</v>
      </c>
    </row>
    <row r="383" spans="1:13" x14ac:dyDescent="0.3">
      <c r="A383" t="s">
        <v>1259</v>
      </c>
      <c r="B383" s="4">
        <v>45947</v>
      </c>
      <c r="C383" t="s">
        <v>1258</v>
      </c>
      <c r="D383" t="s">
        <v>17</v>
      </c>
      <c r="E383" t="s">
        <v>2</v>
      </c>
      <c r="F383" t="s">
        <v>33</v>
      </c>
      <c r="G383" t="s">
        <v>20</v>
      </c>
      <c r="H383">
        <v>11</v>
      </c>
      <c r="I383" s="3">
        <v>18163</v>
      </c>
      <c r="J383" s="2">
        <v>0.1</v>
      </c>
      <c r="K383" s="3">
        <v>179813.7</v>
      </c>
      <c r="L383" s="3">
        <v>127413.04</v>
      </c>
      <c r="M383" s="3">
        <v>52400.66</v>
      </c>
    </row>
    <row r="384" spans="1:13" x14ac:dyDescent="0.3">
      <c r="A384" t="s">
        <v>1257</v>
      </c>
      <c r="B384" s="4">
        <v>46038</v>
      </c>
      <c r="C384" t="s">
        <v>1256</v>
      </c>
      <c r="D384" t="s">
        <v>34</v>
      </c>
      <c r="E384" t="s">
        <v>24</v>
      </c>
      <c r="F384" t="s">
        <v>1</v>
      </c>
      <c r="G384" t="s">
        <v>37</v>
      </c>
      <c r="H384">
        <v>4</v>
      </c>
      <c r="I384" s="3">
        <v>53972</v>
      </c>
      <c r="J384" s="2">
        <v>0.2</v>
      </c>
      <c r="K384" s="3">
        <v>172710.39999999999</v>
      </c>
      <c r="L384" s="3">
        <v>117195.73</v>
      </c>
      <c r="M384" s="3">
        <v>55514.67</v>
      </c>
    </row>
    <row r="385" spans="1:13" x14ac:dyDescent="0.3">
      <c r="A385" t="s">
        <v>1255</v>
      </c>
      <c r="B385" s="4">
        <v>45516</v>
      </c>
      <c r="C385" t="s">
        <v>1254</v>
      </c>
      <c r="D385" t="s">
        <v>9</v>
      </c>
      <c r="E385" t="s">
        <v>8</v>
      </c>
      <c r="F385" t="s">
        <v>33</v>
      </c>
      <c r="G385" t="s">
        <v>37</v>
      </c>
      <c r="H385">
        <v>2</v>
      </c>
      <c r="I385" s="3">
        <v>72118</v>
      </c>
      <c r="J385" s="2">
        <v>0.1</v>
      </c>
      <c r="K385" s="3">
        <v>129812.4</v>
      </c>
      <c r="L385" s="3">
        <v>98343.07</v>
      </c>
      <c r="M385" s="3">
        <v>31469.33</v>
      </c>
    </row>
    <row r="386" spans="1:13" x14ac:dyDescent="0.3">
      <c r="A386" t="s">
        <v>1253</v>
      </c>
      <c r="B386" s="4">
        <v>46041</v>
      </c>
      <c r="C386" t="s">
        <v>1252</v>
      </c>
      <c r="D386" t="s">
        <v>9</v>
      </c>
      <c r="E386" t="s">
        <v>8</v>
      </c>
      <c r="F386" t="s">
        <v>23</v>
      </c>
      <c r="G386" t="s">
        <v>6</v>
      </c>
      <c r="H386">
        <v>10</v>
      </c>
      <c r="I386" s="3">
        <v>20014</v>
      </c>
      <c r="J386" s="2">
        <v>0.1</v>
      </c>
      <c r="K386" s="3">
        <v>180126</v>
      </c>
      <c r="L386" s="3">
        <v>91008.68</v>
      </c>
      <c r="M386" s="3">
        <v>89117.32</v>
      </c>
    </row>
    <row r="387" spans="1:13" x14ac:dyDescent="0.3">
      <c r="A387" t="s">
        <v>1251</v>
      </c>
      <c r="B387" s="4">
        <v>46092</v>
      </c>
      <c r="C387" t="s">
        <v>1250</v>
      </c>
      <c r="D387" t="s">
        <v>3</v>
      </c>
      <c r="E387" t="s">
        <v>2</v>
      </c>
      <c r="F387" t="s">
        <v>7</v>
      </c>
      <c r="G387" t="s">
        <v>20</v>
      </c>
      <c r="H387">
        <v>6</v>
      </c>
      <c r="I387" s="3">
        <v>25682</v>
      </c>
      <c r="J387" s="2">
        <v>0</v>
      </c>
      <c r="K387" s="3">
        <v>154092</v>
      </c>
      <c r="L387" s="3">
        <v>80717.75</v>
      </c>
      <c r="M387" s="3">
        <v>73374.25</v>
      </c>
    </row>
    <row r="388" spans="1:13" x14ac:dyDescent="0.3">
      <c r="A388" t="s">
        <v>1249</v>
      </c>
      <c r="B388" s="4">
        <v>45831</v>
      </c>
      <c r="C388" t="s">
        <v>1248</v>
      </c>
      <c r="D388" t="s">
        <v>25</v>
      </c>
      <c r="E388" t="s">
        <v>24</v>
      </c>
      <c r="F388" t="s">
        <v>1</v>
      </c>
      <c r="G388" t="s">
        <v>6</v>
      </c>
      <c r="H388">
        <v>2</v>
      </c>
      <c r="I388" s="3">
        <v>41799</v>
      </c>
      <c r="J388" s="2">
        <v>0</v>
      </c>
      <c r="K388" s="3">
        <v>83598</v>
      </c>
      <c r="L388" s="3">
        <v>48424.03</v>
      </c>
      <c r="M388" s="3">
        <v>35173.97</v>
      </c>
    </row>
    <row r="389" spans="1:13" x14ac:dyDescent="0.3">
      <c r="A389" t="s">
        <v>1247</v>
      </c>
      <c r="B389" s="4">
        <v>45700</v>
      </c>
      <c r="C389" t="s">
        <v>1246</v>
      </c>
      <c r="D389" t="s">
        <v>56</v>
      </c>
      <c r="E389" t="s">
        <v>24</v>
      </c>
      <c r="F389" t="s">
        <v>1</v>
      </c>
      <c r="G389" t="s">
        <v>0</v>
      </c>
      <c r="H389">
        <v>6</v>
      </c>
      <c r="I389" s="3">
        <v>53871</v>
      </c>
      <c r="J389" s="2">
        <v>0.15</v>
      </c>
      <c r="K389" s="3">
        <v>274742.09999999998</v>
      </c>
      <c r="L389" s="3">
        <v>211894.54</v>
      </c>
      <c r="M389" s="3">
        <v>62847.56</v>
      </c>
    </row>
    <row r="390" spans="1:13" x14ac:dyDescent="0.3">
      <c r="A390" t="s">
        <v>1245</v>
      </c>
      <c r="B390" s="4">
        <v>45965</v>
      </c>
      <c r="C390" t="s">
        <v>1244</v>
      </c>
      <c r="D390" t="s">
        <v>3</v>
      </c>
      <c r="E390" t="s">
        <v>2</v>
      </c>
      <c r="F390" t="s">
        <v>33</v>
      </c>
      <c r="G390" t="s">
        <v>12</v>
      </c>
      <c r="H390">
        <v>6</v>
      </c>
      <c r="I390" s="3">
        <v>47062</v>
      </c>
      <c r="J390" s="2">
        <v>0.15</v>
      </c>
      <c r="K390" s="3">
        <v>240016.2</v>
      </c>
      <c r="L390" s="3">
        <v>122130.39</v>
      </c>
      <c r="M390" s="3">
        <v>117885.81</v>
      </c>
    </row>
    <row r="391" spans="1:13" x14ac:dyDescent="0.3">
      <c r="A391" t="s">
        <v>1243</v>
      </c>
      <c r="B391" s="4">
        <v>46000</v>
      </c>
      <c r="C391" t="s">
        <v>1242</v>
      </c>
      <c r="D391" t="s">
        <v>56</v>
      </c>
      <c r="E391" t="s">
        <v>24</v>
      </c>
      <c r="F391" t="s">
        <v>7</v>
      </c>
      <c r="G391" t="s">
        <v>20</v>
      </c>
      <c r="H391">
        <v>15</v>
      </c>
      <c r="I391" s="3">
        <v>13805</v>
      </c>
      <c r="J391" s="2">
        <v>0.05</v>
      </c>
      <c r="K391" s="3">
        <v>196721.25</v>
      </c>
      <c r="L391" s="3">
        <v>118429.49</v>
      </c>
      <c r="M391" s="3">
        <v>78291.759999999995</v>
      </c>
    </row>
    <row r="392" spans="1:13" x14ac:dyDescent="0.3">
      <c r="A392" t="s">
        <v>1241</v>
      </c>
      <c r="B392" s="4">
        <v>45744</v>
      </c>
      <c r="C392" t="s">
        <v>1240</v>
      </c>
      <c r="D392" t="s">
        <v>42</v>
      </c>
      <c r="E392" t="s">
        <v>8</v>
      </c>
      <c r="F392" t="s">
        <v>1</v>
      </c>
      <c r="G392" t="s">
        <v>16</v>
      </c>
      <c r="H392">
        <v>12</v>
      </c>
      <c r="I392" s="3">
        <v>6302</v>
      </c>
      <c r="J392" s="2">
        <v>0.15</v>
      </c>
      <c r="K392" s="3">
        <v>64280.4</v>
      </c>
      <c r="L392" s="3">
        <v>33040.089999999997</v>
      </c>
      <c r="M392" s="3">
        <v>31240.31</v>
      </c>
    </row>
    <row r="393" spans="1:13" x14ac:dyDescent="0.3">
      <c r="A393" t="s">
        <v>1239</v>
      </c>
      <c r="B393" s="4">
        <v>45922</v>
      </c>
      <c r="C393" t="s">
        <v>1238</v>
      </c>
      <c r="D393" t="s">
        <v>17</v>
      </c>
      <c r="E393" t="s">
        <v>2</v>
      </c>
      <c r="F393" t="s">
        <v>1</v>
      </c>
      <c r="G393" t="s">
        <v>20</v>
      </c>
      <c r="H393">
        <v>3</v>
      </c>
      <c r="I393" s="3">
        <v>50904</v>
      </c>
      <c r="J393" s="2">
        <v>0</v>
      </c>
      <c r="K393" s="3">
        <v>152712</v>
      </c>
      <c r="L393" s="3">
        <v>105878.36</v>
      </c>
      <c r="M393" s="3">
        <v>46833.64</v>
      </c>
    </row>
    <row r="394" spans="1:13" x14ac:dyDescent="0.3">
      <c r="A394" t="s">
        <v>1237</v>
      </c>
      <c r="B394" s="4">
        <v>45608</v>
      </c>
      <c r="C394" t="s">
        <v>1236</v>
      </c>
      <c r="D394" t="s">
        <v>53</v>
      </c>
      <c r="E394" t="s">
        <v>2</v>
      </c>
      <c r="F394" t="s">
        <v>13</v>
      </c>
      <c r="G394" t="s">
        <v>0</v>
      </c>
      <c r="H394">
        <v>8</v>
      </c>
      <c r="I394" s="3">
        <v>69259</v>
      </c>
      <c r="J394" s="2">
        <v>0.1</v>
      </c>
      <c r="K394" s="3">
        <v>498664.8</v>
      </c>
      <c r="L394" s="3">
        <v>410896.06</v>
      </c>
      <c r="M394" s="3">
        <v>87768.74</v>
      </c>
    </row>
    <row r="395" spans="1:13" x14ac:dyDescent="0.3">
      <c r="A395" t="s">
        <v>1235</v>
      </c>
      <c r="B395" s="4">
        <v>45604</v>
      </c>
      <c r="C395" t="s">
        <v>1234</v>
      </c>
      <c r="D395" t="s">
        <v>3</v>
      </c>
      <c r="E395" t="s">
        <v>2</v>
      </c>
      <c r="F395" t="s">
        <v>13</v>
      </c>
      <c r="G395" t="s">
        <v>20</v>
      </c>
      <c r="H395">
        <v>14</v>
      </c>
      <c r="I395" s="3">
        <v>38530</v>
      </c>
      <c r="J395" s="2">
        <v>0</v>
      </c>
      <c r="K395" s="3">
        <v>539420</v>
      </c>
      <c r="L395" s="3">
        <v>434928.58</v>
      </c>
      <c r="M395" s="3">
        <v>104491.42</v>
      </c>
    </row>
    <row r="396" spans="1:13" x14ac:dyDescent="0.3">
      <c r="A396" t="s">
        <v>1233</v>
      </c>
      <c r="B396" s="4">
        <v>46155</v>
      </c>
      <c r="C396" t="s">
        <v>1232</v>
      </c>
      <c r="D396" t="s">
        <v>42</v>
      </c>
      <c r="E396" t="s">
        <v>8</v>
      </c>
      <c r="F396" t="s">
        <v>1</v>
      </c>
      <c r="G396" t="s">
        <v>0</v>
      </c>
      <c r="H396">
        <v>4</v>
      </c>
      <c r="I396" s="3">
        <v>15573</v>
      </c>
      <c r="J396" s="2">
        <v>0</v>
      </c>
      <c r="K396" s="3">
        <v>62292</v>
      </c>
      <c r="L396" s="3">
        <v>48401.08</v>
      </c>
      <c r="M396" s="3">
        <v>13890.92</v>
      </c>
    </row>
    <row r="397" spans="1:13" x14ac:dyDescent="0.3">
      <c r="A397" t="s">
        <v>1231</v>
      </c>
      <c r="B397" s="4">
        <v>45798</v>
      </c>
      <c r="C397" t="s">
        <v>1230</v>
      </c>
      <c r="D397" t="s">
        <v>42</v>
      </c>
      <c r="E397" t="s">
        <v>8</v>
      </c>
      <c r="F397" t="s">
        <v>7</v>
      </c>
      <c r="G397" t="s">
        <v>20</v>
      </c>
      <c r="H397">
        <v>7</v>
      </c>
      <c r="I397" s="3">
        <v>52594</v>
      </c>
      <c r="J397" s="2">
        <v>0.2</v>
      </c>
      <c r="K397" s="3">
        <v>294526.40000000002</v>
      </c>
      <c r="L397" s="3">
        <v>232693.46</v>
      </c>
      <c r="M397" s="3">
        <v>61832.94</v>
      </c>
    </row>
    <row r="398" spans="1:13" x14ac:dyDescent="0.3">
      <c r="A398" t="s">
        <v>1229</v>
      </c>
      <c r="B398" s="4">
        <v>45547</v>
      </c>
      <c r="C398" t="s">
        <v>1228</v>
      </c>
      <c r="D398" t="s">
        <v>17</v>
      </c>
      <c r="E398" t="s">
        <v>2</v>
      </c>
      <c r="F398" t="s">
        <v>33</v>
      </c>
      <c r="G398" t="s">
        <v>20</v>
      </c>
      <c r="H398">
        <v>7</v>
      </c>
      <c r="I398" s="3">
        <v>59006</v>
      </c>
      <c r="J398" s="2">
        <v>0.1</v>
      </c>
      <c r="K398" s="3">
        <v>371737.8</v>
      </c>
      <c r="L398" s="3">
        <v>275854.42</v>
      </c>
      <c r="M398" s="3">
        <v>95883.38</v>
      </c>
    </row>
    <row r="399" spans="1:13" x14ac:dyDescent="0.3">
      <c r="A399" t="s">
        <v>1227</v>
      </c>
      <c r="B399" s="4">
        <v>46067</v>
      </c>
      <c r="C399" t="s">
        <v>1226</v>
      </c>
      <c r="D399" t="s">
        <v>53</v>
      </c>
      <c r="E399" t="s">
        <v>2</v>
      </c>
      <c r="F399" t="s">
        <v>1</v>
      </c>
      <c r="G399" t="s">
        <v>16</v>
      </c>
      <c r="H399">
        <v>12</v>
      </c>
      <c r="I399" s="3">
        <v>27996</v>
      </c>
      <c r="J399" s="2">
        <v>0.15</v>
      </c>
      <c r="K399" s="3">
        <v>285559.2</v>
      </c>
      <c r="L399" s="3">
        <v>210055.17</v>
      </c>
      <c r="M399" s="3">
        <v>75504.03</v>
      </c>
    </row>
    <row r="400" spans="1:13" x14ac:dyDescent="0.3">
      <c r="A400" t="s">
        <v>1225</v>
      </c>
      <c r="B400" s="4">
        <v>45938</v>
      </c>
      <c r="C400" t="s">
        <v>1224</v>
      </c>
      <c r="D400" t="s">
        <v>3</v>
      </c>
      <c r="E400" t="s">
        <v>2</v>
      </c>
      <c r="F400" t="s">
        <v>1</v>
      </c>
      <c r="G400" t="s">
        <v>6</v>
      </c>
      <c r="H400">
        <v>12</v>
      </c>
      <c r="I400" s="3">
        <v>74285</v>
      </c>
      <c r="J400" s="2">
        <v>0.1</v>
      </c>
      <c r="K400" s="3">
        <v>802278</v>
      </c>
      <c r="L400" s="3">
        <v>450146.77</v>
      </c>
      <c r="M400" s="3">
        <v>352131.23</v>
      </c>
    </row>
    <row r="401" spans="1:13" x14ac:dyDescent="0.3">
      <c r="A401" t="s">
        <v>1223</v>
      </c>
      <c r="B401" s="4">
        <v>46094</v>
      </c>
      <c r="C401" t="s">
        <v>1222</v>
      </c>
      <c r="D401" t="s">
        <v>53</v>
      </c>
      <c r="E401" t="s">
        <v>2</v>
      </c>
      <c r="F401" t="s">
        <v>7</v>
      </c>
      <c r="G401" t="s">
        <v>16</v>
      </c>
      <c r="H401">
        <v>5</v>
      </c>
      <c r="I401" s="3">
        <v>33727</v>
      </c>
      <c r="J401" s="2">
        <v>0</v>
      </c>
      <c r="K401" s="3">
        <v>168635</v>
      </c>
      <c r="L401" s="3">
        <v>94236.25</v>
      </c>
      <c r="M401" s="3">
        <v>74398.75</v>
      </c>
    </row>
    <row r="402" spans="1:13" x14ac:dyDescent="0.3">
      <c r="A402" t="s">
        <v>1221</v>
      </c>
      <c r="B402" s="4">
        <v>45764</v>
      </c>
      <c r="C402" t="s">
        <v>1220</v>
      </c>
      <c r="D402" t="s">
        <v>3</v>
      </c>
      <c r="E402" t="s">
        <v>2</v>
      </c>
      <c r="F402" t="s">
        <v>33</v>
      </c>
      <c r="G402" t="s">
        <v>6</v>
      </c>
      <c r="H402">
        <v>11</v>
      </c>
      <c r="I402" s="3">
        <v>41704</v>
      </c>
      <c r="J402" s="2">
        <v>0.05</v>
      </c>
      <c r="K402" s="3">
        <v>435806.8</v>
      </c>
      <c r="L402" s="3">
        <v>238732.19</v>
      </c>
      <c r="M402" s="3">
        <v>197074.61</v>
      </c>
    </row>
    <row r="403" spans="1:13" x14ac:dyDescent="0.3">
      <c r="A403" t="s">
        <v>1219</v>
      </c>
      <c r="B403" s="4">
        <v>46054</v>
      </c>
      <c r="C403" t="s">
        <v>1218</v>
      </c>
      <c r="D403" t="s">
        <v>25</v>
      </c>
      <c r="E403" t="s">
        <v>24</v>
      </c>
      <c r="F403" t="s">
        <v>33</v>
      </c>
      <c r="G403" t="s">
        <v>12</v>
      </c>
      <c r="H403">
        <v>12</v>
      </c>
      <c r="I403" s="3">
        <v>32681</v>
      </c>
      <c r="J403" s="2">
        <v>0</v>
      </c>
      <c r="K403" s="3">
        <v>392172</v>
      </c>
      <c r="L403" s="3">
        <v>266827.37</v>
      </c>
      <c r="M403" s="3">
        <v>125344.63</v>
      </c>
    </row>
    <row r="404" spans="1:13" x14ac:dyDescent="0.3">
      <c r="A404" t="s">
        <v>1217</v>
      </c>
      <c r="B404" s="4">
        <v>45806</v>
      </c>
      <c r="C404" t="s">
        <v>1216</v>
      </c>
      <c r="D404" t="s">
        <v>28</v>
      </c>
      <c r="E404" t="s">
        <v>8</v>
      </c>
      <c r="F404" t="s">
        <v>1</v>
      </c>
      <c r="G404" t="s">
        <v>20</v>
      </c>
      <c r="H404">
        <v>12</v>
      </c>
      <c r="I404" s="3">
        <v>40239</v>
      </c>
      <c r="J404" s="2">
        <v>0.05</v>
      </c>
      <c r="K404" s="3">
        <v>458724.6</v>
      </c>
      <c r="L404" s="3">
        <v>371401.72</v>
      </c>
      <c r="M404" s="3">
        <v>87322.880000000005</v>
      </c>
    </row>
    <row r="405" spans="1:13" x14ac:dyDescent="0.3">
      <c r="A405" t="s">
        <v>1215</v>
      </c>
      <c r="B405" s="4">
        <v>45552</v>
      </c>
      <c r="C405" t="s">
        <v>1214</v>
      </c>
      <c r="D405" t="s">
        <v>42</v>
      </c>
      <c r="E405" t="s">
        <v>8</v>
      </c>
      <c r="F405" t="s">
        <v>1</v>
      </c>
      <c r="G405" t="s">
        <v>6</v>
      </c>
      <c r="H405">
        <v>6</v>
      </c>
      <c r="I405" s="3">
        <v>16462</v>
      </c>
      <c r="J405" s="2">
        <v>0.2</v>
      </c>
      <c r="K405" s="3">
        <v>79017.600000000006</v>
      </c>
      <c r="L405" s="3">
        <v>51252.58</v>
      </c>
      <c r="M405" s="3">
        <v>27765.02</v>
      </c>
    </row>
    <row r="406" spans="1:13" x14ac:dyDescent="0.3">
      <c r="A406" t="s">
        <v>1213</v>
      </c>
      <c r="B406" s="4">
        <v>46077</v>
      </c>
      <c r="C406" t="s">
        <v>1212</v>
      </c>
      <c r="D406" t="s">
        <v>42</v>
      </c>
      <c r="E406" t="s">
        <v>8</v>
      </c>
      <c r="F406" t="s">
        <v>23</v>
      </c>
      <c r="G406" t="s">
        <v>6</v>
      </c>
      <c r="H406">
        <v>10</v>
      </c>
      <c r="I406" s="3">
        <v>61447</v>
      </c>
      <c r="J406" s="2">
        <v>0.15</v>
      </c>
      <c r="K406" s="3">
        <v>522299.5</v>
      </c>
      <c r="L406" s="3">
        <v>413091.81</v>
      </c>
      <c r="M406" s="3">
        <v>109207.69</v>
      </c>
    </row>
    <row r="407" spans="1:13" x14ac:dyDescent="0.3">
      <c r="A407" t="s">
        <v>1211</v>
      </c>
      <c r="B407" s="4">
        <v>45846</v>
      </c>
      <c r="C407" t="s">
        <v>1210</v>
      </c>
      <c r="D407" t="s">
        <v>25</v>
      </c>
      <c r="E407" t="s">
        <v>24</v>
      </c>
      <c r="F407" t="s">
        <v>7</v>
      </c>
      <c r="G407" t="s">
        <v>0</v>
      </c>
      <c r="H407">
        <v>6</v>
      </c>
      <c r="I407" s="3">
        <v>64780</v>
      </c>
      <c r="J407" s="2">
        <v>0.05</v>
      </c>
      <c r="K407" s="3">
        <v>369246</v>
      </c>
      <c r="L407" s="3">
        <v>190231.43</v>
      </c>
      <c r="M407" s="3">
        <v>179014.57</v>
      </c>
    </row>
    <row r="408" spans="1:13" x14ac:dyDescent="0.3">
      <c r="A408" t="s">
        <v>1209</v>
      </c>
      <c r="B408" s="4">
        <v>45442</v>
      </c>
      <c r="C408" t="s">
        <v>1208</v>
      </c>
      <c r="D408" t="s">
        <v>3</v>
      </c>
      <c r="E408" t="s">
        <v>2</v>
      </c>
      <c r="F408" t="s">
        <v>1</v>
      </c>
      <c r="G408" t="s">
        <v>0</v>
      </c>
      <c r="H408">
        <v>12</v>
      </c>
      <c r="I408" s="3">
        <v>41490</v>
      </c>
      <c r="J408" s="2">
        <v>0.15</v>
      </c>
      <c r="K408" s="3">
        <v>423198</v>
      </c>
      <c r="L408" s="3">
        <v>354220.84</v>
      </c>
      <c r="M408" s="3">
        <v>68977.16</v>
      </c>
    </row>
    <row r="409" spans="1:13" x14ac:dyDescent="0.3">
      <c r="A409" t="s">
        <v>1207</v>
      </c>
      <c r="B409" s="4">
        <v>45906</v>
      </c>
      <c r="C409" t="s">
        <v>1206</v>
      </c>
      <c r="D409" t="s">
        <v>56</v>
      </c>
      <c r="E409" t="s">
        <v>24</v>
      </c>
      <c r="F409" t="s">
        <v>23</v>
      </c>
      <c r="G409" t="s">
        <v>37</v>
      </c>
      <c r="H409">
        <v>10</v>
      </c>
      <c r="I409" s="3">
        <v>48575</v>
      </c>
      <c r="J409" s="2">
        <v>0.1</v>
      </c>
      <c r="K409" s="3">
        <v>437175</v>
      </c>
      <c r="L409" s="3">
        <v>244307.98</v>
      </c>
      <c r="M409" s="3">
        <v>192867.02</v>
      </c>
    </row>
    <row r="410" spans="1:13" x14ac:dyDescent="0.3">
      <c r="A410" t="s">
        <v>1205</v>
      </c>
      <c r="B410" s="4">
        <v>46036</v>
      </c>
      <c r="C410" t="s">
        <v>1204</v>
      </c>
      <c r="D410" t="s">
        <v>17</v>
      </c>
      <c r="E410" t="s">
        <v>2</v>
      </c>
      <c r="F410" t="s">
        <v>7</v>
      </c>
      <c r="G410" t="s">
        <v>6</v>
      </c>
      <c r="H410">
        <v>13</v>
      </c>
      <c r="I410" s="3">
        <v>64638</v>
      </c>
      <c r="J410" s="2">
        <v>0</v>
      </c>
      <c r="K410" s="3">
        <v>840294</v>
      </c>
      <c r="L410" s="3">
        <v>639927.39</v>
      </c>
      <c r="M410" s="3">
        <v>200366.61</v>
      </c>
    </row>
    <row r="411" spans="1:13" x14ac:dyDescent="0.3">
      <c r="A411" t="s">
        <v>1203</v>
      </c>
      <c r="B411" s="4">
        <v>45746</v>
      </c>
      <c r="C411" t="s">
        <v>1202</v>
      </c>
      <c r="D411" t="s">
        <v>28</v>
      </c>
      <c r="E411" t="s">
        <v>8</v>
      </c>
      <c r="F411" t="s">
        <v>13</v>
      </c>
      <c r="G411" t="s">
        <v>0</v>
      </c>
      <c r="H411">
        <v>2</v>
      </c>
      <c r="I411" s="3">
        <v>65077</v>
      </c>
      <c r="J411" s="2">
        <v>0.15</v>
      </c>
      <c r="K411" s="3">
        <v>110630.9</v>
      </c>
      <c r="L411" s="3">
        <v>74224.5</v>
      </c>
      <c r="M411" s="3">
        <v>36406.400000000001</v>
      </c>
    </row>
    <row r="412" spans="1:13" x14ac:dyDescent="0.3">
      <c r="A412" t="s">
        <v>1201</v>
      </c>
      <c r="B412" s="4">
        <v>45906</v>
      </c>
      <c r="C412" t="s">
        <v>1200</v>
      </c>
      <c r="D412" t="s">
        <v>17</v>
      </c>
      <c r="E412" t="s">
        <v>2</v>
      </c>
      <c r="F412" t="s">
        <v>7</v>
      </c>
      <c r="G412" t="s">
        <v>6</v>
      </c>
      <c r="H412">
        <v>15</v>
      </c>
      <c r="I412" s="3">
        <v>12923</v>
      </c>
      <c r="J412" s="2">
        <v>0.1</v>
      </c>
      <c r="K412" s="3">
        <v>174460.5</v>
      </c>
      <c r="L412" s="3">
        <v>125561.05</v>
      </c>
      <c r="M412" s="3">
        <v>48899.45</v>
      </c>
    </row>
    <row r="413" spans="1:13" x14ac:dyDescent="0.3">
      <c r="A413" t="s">
        <v>1199</v>
      </c>
      <c r="B413" s="4">
        <v>45860</v>
      </c>
      <c r="C413" t="s">
        <v>1198</v>
      </c>
      <c r="D413" t="s">
        <v>3</v>
      </c>
      <c r="E413" t="s">
        <v>2</v>
      </c>
      <c r="F413" t="s">
        <v>1</v>
      </c>
      <c r="G413" t="s">
        <v>0</v>
      </c>
      <c r="H413">
        <v>3</v>
      </c>
      <c r="I413" s="3">
        <v>4626</v>
      </c>
      <c r="J413" s="2">
        <v>0</v>
      </c>
      <c r="K413" s="3">
        <v>13878</v>
      </c>
      <c r="L413" s="3">
        <v>10700.68</v>
      </c>
      <c r="M413" s="3">
        <v>3177.32</v>
      </c>
    </row>
    <row r="414" spans="1:13" x14ac:dyDescent="0.3">
      <c r="A414" t="s">
        <v>1197</v>
      </c>
      <c r="B414" s="4">
        <v>45972</v>
      </c>
      <c r="C414" t="s">
        <v>1196</v>
      </c>
      <c r="D414" t="s">
        <v>25</v>
      </c>
      <c r="E414" t="s">
        <v>24</v>
      </c>
      <c r="F414" t="s">
        <v>7</v>
      </c>
      <c r="G414" t="s">
        <v>6</v>
      </c>
      <c r="H414">
        <v>11</v>
      </c>
      <c r="I414" s="3">
        <v>69869</v>
      </c>
      <c r="J414" s="2">
        <v>0.05</v>
      </c>
      <c r="K414" s="3">
        <v>730131.05</v>
      </c>
      <c r="L414" s="3">
        <v>391176.46</v>
      </c>
      <c r="M414" s="3">
        <v>338954.59</v>
      </c>
    </row>
    <row r="415" spans="1:13" x14ac:dyDescent="0.3">
      <c r="A415" t="s">
        <v>1195</v>
      </c>
      <c r="B415" s="4">
        <v>45955</v>
      </c>
      <c r="C415" t="s">
        <v>1194</v>
      </c>
      <c r="D415" t="s">
        <v>28</v>
      </c>
      <c r="E415" t="s">
        <v>8</v>
      </c>
      <c r="F415" t="s">
        <v>7</v>
      </c>
      <c r="G415" t="s">
        <v>12</v>
      </c>
      <c r="H415">
        <v>7</v>
      </c>
      <c r="I415" s="3">
        <v>25188</v>
      </c>
      <c r="J415" s="2">
        <v>0.1</v>
      </c>
      <c r="K415" s="3">
        <v>158684.4</v>
      </c>
      <c r="L415" s="3">
        <v>97123.5</v>
      </c>
      <c r="M415" s="3">
        <v>61560.9</v>
      </c>
    </row>
    <row r="416" spans="1:13" x14ac:dyDescent="0.3">
      <c r="A416" t="s">
        <v>1193</v>
      </c>
      <c r="B416" s="4">
        <v>45615</v>
      </c>
      <c r="C416" t="s">
        <v>1192</v>
      </c>
      <c r="D416" t="s">
        <v>28</v>
      </c>
      <c r="E416" t="s">
        <v>8</v>
      </c>
      <c r="F416" t="s">
        <v>23</v>
      </c>
      <c r="G416" t="s">
        <v>20</v>
      </c>
      <c r="H416">
        <v>14</v>
      </c>
      <c r="I416" s="3">
        <v>34233</v>
      </c>
      <c r="J416" s="2">
        <v>0.05</v>
      </c>
      <c r="K416" s="3">
        <v>455298.9</v>
      </c>
      <c r="L416" s="3">
        <v>236847.73</v>
      </c>
      <c r="M416" s="3">
        <v>218451.17</v>
      </c>
    </row>
    <row r="417" spans="1:13" x14ac:dyDescent="0.3">
      <c r="A417" t="s">
        <v>1191</v>
      </c>
      <c r="B417" s="4">
        <v>45810</v>
      </c>
      <c r="C417" t="s">
        <v>1190</v>
      </c>
      <c r="D417" t="s">
        <v>9</v>
      </c>
      <c r="E417" t="s">
        <v>8</v>
      </c>
      <c r="F417" t="s">
        <v>33</v>
      </c>
      <c r="G417" t="s">
        <v>6</v>
      </c>
      <c r="H417">
        <v>7</v>
      </c>
      <c r="I417" s="3">
        <v>7625</v>
      </c>
      <c r="J417" s="2">
        <v>0.05</v>
      </c>
      <c r="K417" s="3">
        <v>50706.25</v>
      </c>
      <c r="L417" s="3">
        <v>34126.980000000003</v>
      </c>
      <c r="M417" s="3">
        <v>16579.27</v>
      </c>
    </row>
    <row r="418" spans="1:13" x14ac:dyDescent="0.3">
      <c r="A418" t="s">
        <v>1189</v>
      </c>
      <c r="B418" s="4">
        <v>45820</v>
      </c>
      <c r="C418" t="s">
        <v>1188</v>
      </c>
      <c r="D418" t="s">
        <v>17</v>
      </c>
      <c r="E418" t="s">
        <v>2</v>
      </c>
      <c r="F418" t="s">
        <v>1</v>
      </c>
      <c r="G418" t="s">
        <v>12</v>
      </c>
      <c r="H418">
        <v>10</v>
      </c>
      <c r="I418" s="3">
        <v>11516</v>
      </c>
      <c r="J418" s="2">
        <v>0.05</v>
      </c>
      <c r="K418" s="3">
        <v>109402</v>
      </c>
      <c r="L418" s="3">
        <v>81044.39</v>
      </c>
      <c r="M418" s="3">
        <v>28357.61</v>
      </c>
    </row>
    <row r="419" spans="1:13" x14ac:dyDescent="0.3">
      <c r="A419" t="s">
        <v>1187</v>
      </c>
      <c r="B419" s="4">
        <v>45558</v>
      </c>
      <c r="C419" t="s">
        <v>1186</v>
      </c>
      <c r="D419" t="s">
        <v>34</v>
      </c>
      <c r="E419" t="s">
        <v>24</v>
      </c>
      <c r="F419" t="s">
        <v>33</v>
      </c>
      <c r="G419" t="s">
        <v>12</v>
      </c>
      <c r="H419">
        <v>7</v>
      </c>
      <c r="I419" s="3">
        <v>12752</v>
      </c>
      <c r="J419" s="2">
        <v>0</v>
      </c>
      <c r="K419" s="3">
        <v>89264</v>
      </c>
      <c r="L419" s="3">
        <v>71208.95</v>
      </c>
      <c r="M419" s="3">
        <v>18055.05</v>
      </c>
    </row>
    <row r="420" spans="1:13" x14ac:dyDescent="0.3">
      <c r="A420" t="s">
        <v>1185</v>
      </c>
      <c r="B420" s="4">
        <v>45950</v>
      </c>
      <c r="C420" t="s">
        <v>1184</v>
      </c>
      <c r="D420" t="s">
        <v>53</v>
      </c>
      <c r="E420" t="s">
        <v>2</v>
      </c>
      <c r="F420" t="s">
        <v>13</v>
      </c>
      <c r="G420" t="s">
        <v>16</v>
      </c>
      <c r="H420">
        <v>6</v>
      </c>
      <c r="I420" s="3">
        <v>1367</v>
      </c>
      <c r="J420" s="2">
        <v>0</v>
      </c>
      <c r="K420" s="3">
        <v>8202</v>
      </c>
      <c r="L420" s="3">
        <v>6514.75</v>
      </c>
      <c r="M420" s="3">
        <v>1687.25</v>
      </c>
    </row>
    <row r="421" spans="1:13" x14ac:dyDescent="0.3">
      <c r="A421" t="s">
        <v>1183</v>
      </c>
      <c r="B421" s="4">
        <v>45959</v>
      </c>
      <c r="C421" t="s">
        <v>1182</v>
      </c>
      <c r="D421" t="s">
        <v>17</v>
      </c>
      <c r="E421" t="s">
        <v>2</v>
      </c>
      <c r="F421" t="s">
        <v>7</v>
      </c>
      <c r="G421" t="s">
        <v>37</v>
      </c>
      <c r="H421">
        <v>2</v>
      </c>
      <c r="I421" s="3">
        <v>8248</v>
      </c>
      <c r="J421" s="2">
        <v>0.2</v>
      </c>
      <c r="K421" s="3">
        <v>13196.8</v>
      </c>
      <c r="L421" s="3">
        <v>9881.4</v>
      </c>
      <c r="M421" s="3">
        <v>3315.4</v>
      </c>
    </row>
    <row r="422" spans="1:13" x14ac:dyDescent="0.3">
      <c r="A422" t="s">
        <v>1181</v>
      </c>
      <c r="B422" s="4">
        <v>45456</v>
      </c>
      <c r="C422" t="s">
        <v>1180</v>
      </c>
      <c r="D422" t="s">
        <v>25</v>
      </c>
      <c r="E422" t="s">
        <v>24</v>
      </c>
      <c r="F422" t="s">
        <v>23</v>
      </c>
      <c r="G422" t="s">
        <v>16</v>
      </c>
      <c r="H422">
        <v>11</v>
      </c>
      <c r="I422" s="3">
        <v>24105</v>
      </c>
      <c r="J422" s="2">
        <v>0.05</v>
      </c>
      <c r="K422" s="3">
        <v>251897.25</v>
      </c>
      <c r="L422" s="3">
        <v>159347.17000000001</v>
      </c>
      <c r="M422" s="3">
        <v>92550.080000000002</v>
      </c>
    </row>
    <row r="423" spans="1:13" x14ac:dyDescent="0.3">
      <c r="A423" t="s">
        <v>1179</v>
      </c>
      <c r="B423" s="4">
        <v>45690</v>
      </c>
      <c r="C423" t="s">
        <v>1178</v>
      </c>
      <c r="D423" t="s">
        <v>9</v>
      </c>
      <c r="E423" t="s">
        <v>8</v>
      </c>
      <c r="F423" t="s">
        <v>7</v>
      </c>
      <c r="G423" t="s">
        <v>20</v>
      </c>
      <c r="H423">
        <v>6</v>
      </c>
      <c r="I423" s="3">
        <v>26613</v>
      </c>
      <c r="J423" s="2">
        <v>0.15</v>
      </c>
      <c r="K423" s="3">
        <v>135726.29999999999</v>
      </c>
      <c r="L423" s="3">
        <v>71902.990000000005</v>
      </c>
      <c r="M423" s="3">
        <v>63823.31</v>
      </c>
    </row>
    <row r="424" spans="1:13" x14ac:dyDescent="0.3">
      <c r="A424" t="s">
        <v>1177</v>
      </c>
      <c r="B424" s="4">
        <v>46022</v>
      </c>
      <c r="C424" t="s">
        <v>1176</v>
      </c>
      <c r="D424" t="s">
        <v>56</v>
      </c>
      <c r="E424" t="s">
        <v>24</v>
      </c>
      <c r="F424" t="s">
        <v>13</v>
      </c>
      <c r="G424" t="s">
        <v>37</v>
      </c>
      <c r="H424">
        <v>9</v>
      </c>
      <c r="I424" s="3">
        <v>21232</v>
      </c>
      <c r="J424" s="2">
        <v>0.15</v>
      </c>
      <c r="K424" s="3">
        <v>162424.79999999999</v>
      </c>
      <c r="L424" s="3">
        <v>135890.48000000001</v>
      </c>
      <c r="M424" s="3">
        <v>26534.32</v>
      </c>
    </row>
    <row r="425" spans="1:13" x14ac:dyDescent="0.3">
      <c r="A425" t="s">
        <v>1175</v>
      </c>
      <c r="B425" s="4">
        <v>45919</v>
      </c>
      <c r="C425" t="s">
        <v>1174</v>
      </c>
      <c r="D425" t="s">
        <v>53</v>
      </c>
      <c r="E425" t="s">
        <v>2</v>
      </c>
      <c r="F425" t="s">
        <v>13</v>
      </c>
      <c r="G425" t="s">
        <v>20</v>
      </c>
      <c r="H425">
        <v>11</v>
      </c>
      <c r="I425" s="3">
        <v>44455</v>
      </c>
      <c r="J425" s="2">
        <v>0.2</v>
      </c>
      <c r="K425" s="3">
        <v>391204</v>
      </c>
      <c r="L425" s="3">
        <v>285755.99</v>
      </c>
      <c r="M425" s="3">
        <v>105448.01</v>
      </c>
    </row>
    <row r="426" spans="1:13" x14ac:dyDescent="0.3">
      <c r="A426" t="s">
        <v>1173</v>
      </c>
      <c r="B426" s="4">
        <v>45699</v>
      </c>
      <c r="C426" t="s">
        <v>1172</v>
      </c>
      <c r="D426" t="s">
        <v>56</v>
      </c>
      <c r="E426" t="s">
        <v>24</v>
      </c>
      <c r="F426" t="s">
        <v>13</v>
      </c>
      <c r="G426" t="s">
        <v>6</v>
      </c>
      <c r="H426">
        <v>8</v>
      </c>
      <c r="I426" s="3">
        <v>18937</v>
      </c>
      <c r="J426" s="2">
        <v>0.1</v>
      </c>
      <c r="K426" s="3">
        <v>136346.4</v>
      </c>
      <c r="L426" s="3">
        <v>109464.6</v>
      </c>
      <c r="M426" s="3">
        <v>26881.8</v>
      </c>
    </row>
    <row r="427" spans="1:13" x14ac:dyDescent="0.3">
      <c r="A427" t="s">
        <v>1171</v>
      </c>
      <c r="B427" s="4">
        <v>45597</v>
      </c>
      <c r="C427" t="s">
        <v>1170</v>
      </c>
      <c r="D427" t="s">
        <v>3</v>
      </c>
      <c r="E427" t="s">
        <v>2</v>
      </c>
      <c r="F427" t="s">
        <v>13</v>
      </c>
      <c r="G427" t="s">
        <v>0</v>
      </c>
      <c r="H427">
        <v>4</v>
      </c>
      <c r="I427" s="3">
        <v>59634</v>
      </c>
      <c r="J427" s="2">
        <v>0</v>
      </c>
      <c r="K427" s="3">
        <v>238536</v>
      </c>
      <c r="L427" s="3">
        <v>131533.84</v>
      </c>
      <c r="M427" s="3">
        <v>107002.16</v>
      </c>
    </row>
    <row r="428" spans="1:13" x14ac:dyDescent="0.3">
      <c r="A428" t="s">
        <v>1169</v>
      </c>
      <c r="B428" s="4">
        <v>45474</v>
      </c>
      <c r="C428" t="s">
        <v>1168</v>
      </c>
      <c r="D428" t="s">
        <v>9</v>
      </c>
      <c r="E428" t="s">
        <v>8</v>
      </c>
      <c r="F428" t="s">
        <v>33</v>
      </c>
      <c r="G428" t="s">
        <v>16</v>
      </c>
      <c r="H428">
        <v>7</v>
      </c>
      <c r="I428" s="3">
        <v>48186</v>
      </c>
      <c r="J428" s="2">
        <v>0.2</v>
      </c>
      <c r="K428" s="3">
        <v>269841.59999999998</v>
      </c>
      <c r="L428" s="3">
        <v>157610.01</v>
      </c>
      <c r="M428" s="3">
        <v>112231.59</v>
      </c>
    </row>
    <row r="429" spans="1:13" x14ac:dyDescent="0.3">
      <c r="A429" t="s">
        <v>1167</v>
      </c>
      <c r="B429" s="4">
        <v>45747</v>
      </c>
      <c r="C429" t="s">
        <v>1166</v>
      </c>
      <c r="D429" t="s">
        <v>25</v>
      </c>
      <c r="E429" t="s">
        <v>24</v>
      </c>
      <c r="F429" t="s">
        <v>23</v>
      </c>
      <c r="G429" t="s">
        <v>12</v>
      </c>
      <c r="H429">
        <v>4</v>
      </c>
      <c r="I429" s="3">
        <v>24658</v>
      </c>
      <c r="J429" s="2">
        <v>0.05</v>
      </c>
      <c r="K429" s="3">
        <v>93700.4</v>
      </c>
      <c r="L429" s="3">
        <v>64825.67</v>
      </c>
      <c r="M429" s="3">
        <v>28874.73</v>
      </c>
    </row>
    <row r="430" spans="1:13" x14ac:dyDescent="0.3">
      <c r="A430" t="s">
        <v>1165</v>
      </c>
      <c r="B430" s="4">
        <v>45701</v>
      </c>
      <c r="C430" t="s">
        <v>1164</v>
      </c>
      <c r="D430" t="s">
        <v>34</v>
      </c>
      <c r="E430" t="s">
        <v>24</v>
      </c>
      <c r="F430" t="s">
        <v>33</v>
      </c>
      <c r="G430" t="s">
        <v>12</v>
      </c>
      <c r="H430">
        <v>2</v>
      </c>
      <c r="I430" s="3">
        <v>25581</v>
      </c>
      <c r="J430" s="2">
        <v>0.2</v>
      </c>
      <c r="K430" s="3">
        <v>40929.599999999999</v>
      </c>
      <c r="L430" s="3">
        <v>30066.21</v>
      </c>
      <c r="M430" s="3">
        <v>10863.39</v>
      </c>
    </row>
    <row r="431" spans="1:13" x14ac:dyDescent="0.3">
      <c r="A431" t="s">
        <v>1163</v>
      </c>
      <c r="B431" s="4">
        <v>45691</v>
      </c>
      <c r="C431" t="s">
        <v>1162</v>
      </c>
      <c r="D431" t="s">
        <v>28</v>
      </c>
      <c r="E431" t="s">
        <v>8</v>
      </c>
      <c r="F431" t="s">
        <v>13</v>
      </c>
      <c r="G431" t="s">
        <v>20</v>
      </c>
      <c r="H431">
        <v>4</v>
      </c>
      <c r="I431" s="3">
        <v>71939</v>
      </c>
      <c r="J431" s="2">
        <v>0.2</v>
      </c>
      <c r="K431" s="3">
        <v>230204.79999999999</v>
      </c>
      <c r="L431" s="3">
        <v>171238.61</v>
      </c>
      <c r="M431" s="3">
        <v>58966.19</v>
      </c>
    </row>
    <row r="432" spans="1:13" x14ac:dyDescent="0.3">
      <c r="A432" t="s">
        <v>1161</v>
      </c>
      <c r="B432" s="4">
        <v>45927</v>
      </c>
      <c r="C432" t="s">
        <v>1160</v>
      </c>
      <c r="D432" t="s">
        <v>42</v>
      </c>
      <c r="E432" t="s">
        <v>8</v>
      </c>
      <c r="F432" t="s">
        <v>1</v>
      </c>
      <c r="G432" t="s">
        <v>20</v>
      </c>
      <c r="H432">
        <v>14</v>
      </c>
      <c r="I432" s="3">
        <v>54480</v>
      </c>
      <c r="J432" s="2">
        <v>0</v>
      </c>
      <c r="K432" s="3">
        <v>762720</v>
      </c>
      <c r="L432" s="3">
        <v>595010.89</v>
      </c>
      <c r="M432" s="3">
        <v>167709.10999999999</v>
      </c>
    </row>
    <row r="433" spans="1:13" x14ac:dyDescent="0.3">
      <c r="A433" t="s">
        <v>1159</v>
      </c>
      <c r="B433" s="4">
        <v>45864</v>
      </c>
      <c r="C433" t="s">
        <v>1158</v>
      </c>
      <c r="D433" t="s">
        <v>9</v>
      </c>
      <c r="E433" t="s">
        <v>8</v>
      </c>
      <c r="F433" t="s">
        <v>33</v>
      </c>
      <c r="G433" t="s">
        <v>20</v>
      </c>
      <c r="H433">
        <v>12</v>
      </c>
      <c r="I433" s="3">
        <v>16022</v>
      </c>
      <c r="J433" s="2">
        <v>0.2</v>
      </c>
      <c r="K433" s="3">
        <v>153811.20000000001</v>
      </c>
      <c r="L433" s="3">
        <v>82401.679999999993</v>
      </c>
      <c r="M433" s="3">
        <v>71409.52</v>
      </c>
    </row>
    <row r="434" spans="1:13" x14ac:dyDescent="0.3">
      <c r="A434" t="s">
        <v>1157</v>
      </c>
      <c r="B434" s="4">
        <v>45667</v>
      </c>
      <c r="C434" t="s">
        <v>1156</v>
      </c>
      <c r="D434" t="s">
        <v>3</v>
      </c>
      <c r="E434" t="s">
        <v>2</v>
      </c>
      <c r="F434" t="s">
        <v>13</v>
      </c>
      <c r="G434" t="s">
        <v>37</v>
      </c>
      <c r="H434">
        <v>10</v>
      </c>
      <c r="I434" s="3">
        <v>63273</v>
      </c>
      <c r="J434" s="2">
        <v>0</v>
      </c>
      <c r="K434" s="3">
        <v>632730</v>
      </c>
      <c r="L434" s="3">
        <v>346660.64</v>
      </c>
      <c r="M434" s="3">
        <v>286069.36</v>
      </c>
    </row>
    <row r="435" spans="1:13" x14ac:dyDescent="0.3">
      <c r="A435" t="s">
        <v>1155</v>
      </c>
      <c r="B435" s="4">
        <v>45802</v>
      </c>
      <c r="C435" t="s">
        <v>1154</v>
      </c>
      <c r="D435" t="s">
        <v>25</v>
      </c>
      <c r="E435" t="s">
        <v>24</v>
      </c>
      <c r="F435" t="s">
        <v>13</v>
      </c>
      <c r="G435" t="s">
        <v>12</v>
      </c>
      <c r="H435">
        <v>1</v>
      </c>
      <c r="I435" s="3">
        <v>49804</v>
      </c>
      <c r="J435" s="2">
        <v>0</v>
      </c>
      <c r="K435" s="3">
        <v>49804</v>
      </c>
      <c r="L435" s="3">
        <v>25166.45</v>
      </c>
      <c r="M435" s="3">
        <v>24637.55</v>
      </c>
    </row>
    <row r="436" spans="1:13" x14ac:dyDescent="0.3">
      <c r="A436" t="s">
        <v>1153</v>
      </c>
      <c r="B436" s="4">
        <v>46140</v>
      </c>
      <c r="C436" t="s">
        <v>1152</v>
      </c>
      <c r="D436" t="s">
        <v>56</v>
      </c>
      <c r="E436" t="s">
        <v>24</v>
      </c>
      <c r="F436" t="s">
        <v>23</v>
      </c>
      <c r="G436" t="s">
        <v>20</v>
      </c>
      <c r="H436">
        <v>2</v>
      </c>
      <c r="I436" s="3">
        <v>18772</v>
      </c>
      <c r="J436" s="2">
        <v>0.15</v>
      </c>
      <c r="K436" s="3">
        <v>31912.400000000001</v>
      </c>
      <c r="L436" s="3">
        <v>26103.94</v>
      </c>
      <c r="M436" s="3">
        <v>5808.46</v>
      </c>
    </row>
    <row r="437" spans="1:13" x14ac:dyDescent="0.3">
      <c r="A437" t="s">
        <v>1151</v>
      </c>
      <c r="B437" s="4">
        <v>45957</v>
      </c>
      <c r="C437" t="s">
        <v>1150</v>
      </c>
      <c r="D437" t="s">
        <v>53</v>
      </c>
      <c r="E437" t="s">
        <v>2</v>
      </c>
      <c r="F437" t="s">
        <v>7</v>
      </c>
      <c r="G437" t="s">
        <v>6</v>
      </c>
      <c r="H437">
        <v>2</v>
      </c>
      <c r="I437" s="3">
        <v>47486</v>
      </c>
      <c r="J437" s="2">
        <v>0.05</v>
      </c>
      <c r="K437" s="3">
        <v>90223.4</v>
      </c>
      <c r="L437" s="3">
        <v>56700.34</v>
      </c>
      <c r="M437" s="3">
        <v>33523.06</v>
      </c>
    </row>
    <row r="438" spans="1:13" x14ac:dyDescent="0.3">
      <c r="A438" t="s">
        <v>1149</v>
      </c>
      <c r="B438" s="4">
        <v>45599</v>
      </c>
      <c r="C438" t="s">
        <v>1148</v>
      </c>
      <c r="D438" t="s">
        <v>42</v>
      </c>
      <c r="E438" t="s">
        <v>8</v>
      </c>
      <c r="F438" t="s">
        <v>13</v>
      </c>
      <c r="G438" t="s">
        <v>6</v>
      </c>
      <c r="H438">
        <v>14</v>
      </c>
      <c r="I438" s="3">
        <v>34504</v>
      </c>
      <c r="J438" s="2">
        <v>0</v>
      </c>
      <c r="K438" s="3">
        <v>483056</v>
      </c>
      <c r="L438" s="3">
        <v>281986.34999999998</v>
      </c>
      <c r="M438" s="3">
        <v>201069.65</v>
      </c>
    </row>
    <row r="439" spans="1:13" x14ac:dyDescent="0.3">
      <c r="A439" t="s">
        <v>1147</v>
      </c>
      <c r="B439" s="4">
        <v>45569</v>
      </c>
      <c r="C439" t="s">
        <v>1146</v>
      </c>
      <c r="D439" t="s">
        <v>28</v>
      </c>
      <c r="E439" t="s">
        <v>8</v>
      </c>
      <c r="F439" t="s">
        <v>7</v>
      </c>
      <c r="G439" t="s">
        <v>37</v>
      </c>
      <c r="H439">
        <v>12</v>
      </c>
      <c r="I439" s="3">
        <v>65092</v>
      </c>
      <c r="J439" s="2">
        <v>0</v>
      </c>
      <c r="K439" s="3">
        <v>781104</v>
      </c>
      <c r="L439" s="3">
        <v>613784.31999999995</v>
      </c>
      <c r="M439" s="3">
        <v>167319.67999999999</v>
      </c>
    </row>
    <row r="440" spans="1:13" x14ac:dyDescent="0.3">
      <c r="A440" t="s">
        <v>1145</v>
      </c>
      <c r="B440" s="4">
        <v>46035</v>
      </c>
      <c r="C440" t="s">
        <v>1144</v>
      </c>
      <c r="D440" t="s">
        <v>34</v>
      </c>
      <c r="E440" t="s">
        <v>24</v>
      </c>
      <c r="F440" t="s">
        <v>1</v>
      </c>
      <c r="G440" t="s">
        <v>0</v>
      </c>
      <c r="H440">
        <v>6</v>
      </c>
      <c r="I440" s="3">
        <v>15807</v>
      </c>
      <c r="J440" s="2">
        <v>0</v>
      </c>
      <c r="K440" s="3">
        <v>94842</v>
      </c>
      <c r="L440" s="3">
        <v>78137.95</v>
      </c>
      <c r="M440" s="3">
        <v>16704.05</v>
      </c>
    </row>
    <row r="441" spans="1:13" x14ac:dyDescent="0.3">
      <c r="A441" t="s">
        <v>1143</v>
      </c>
      <c r="B441" s="4">
        <v>46111</v>
      </c>
      <c r="C441" t="s">
        <v>1142</v>
      </c>
      <c r="D441" t="s">
        <v>25</v>
      </c>
      <c r="E441" t="s">
        <v>24</v>
      </c>
      <c r="F441" t="s">
        <v>13</v>
      </c>
      <c r="G441" t="s">
        <v>16</v>
      </c>
      <c r="H441">
        <v>12</v>
      </c>
      <c r="I441" s="3">
        <v>59558</v>
      </c>
      <c r="J441" s="2">
        <v>0</v>
      </c>
      <c r="K441" s="3">
        <v>714696</v>
      </c>
      <c r="L441" s="3">
        <v>567008.97</v>
      </c>
      <c r="M441" s="3">
        <v>147687.03</v>
      </c>
    </row>
    <row r="442" spans="1:13" x14ac:dyDescent="0.3">
      <c r="A442" t="s">
        <v>1141</v>
      </c>
      <c r="B442" s="4">
        <v>45634</v>
      </c>
      <c r="C442" t="s">
        <v>1140</v>
      </c>
      <c r="D442" t="s">
        <v>3</v>
      </c>
      <c r="E442" t="s">
        <v>2</v>
      </c>
      <c r="F442" t="s">
        <v>1</v>
      </c>
      <c r="G442" t="s">
        <v>12</v>
      </c>
      <c r="H442">
        <v>8</v>
      </c>
      <c r="I442" s="3">
        <v>15472</v>
      </c>
      <c r="J442" s="2">
        <v>0</v>
      </c>
      <c r="K442" s="3">
        <v>123776</v>
      </c>
      <c r="L442" s="3">
        <v>96575.29</v>
      </c>
      <c r="M442" s="3">
        <v>27200.71</v>
      </c>
    </row>
    <row r="443" spans="1:13" x14ac:dyDescent="0.3">
      <c r="A443" t="s">
        <v>1139</v>
      </c>
      <c r="B443" s="4">
        <v>45449</v>
      </c>
      <c r="C443" t="s">
        <v>1138</v>
      </c>
      <c r="D443" t="s">
        <v>28</v>
      </c>
      <c r="E443" t="s">
        <v>8</v>
      </c>
      <c r="F443" t="s">
        <v>7</v>
      </c>
      <c r="G443" t="s">
        <v>20</v>
      </c>
      <c r="H443">
        <v>14</v>
      </c>
      <c r="I443" s="3">
        <v>50914</v>
      </c>
      <c r="J443" s="2">
        <v>0.05</v>
      </c>
      <c r="K443" s="3">
        <v>677156.2</v>
      </c>
      <c r="L443" s="3">
        <v>478011.61</v>
      </c>
      <c r="M443" s="3">
        <v>199144.59</v>
      </c>
    </row>
    <row r="444" spans="1:13" x14ac:dyDescent="0.3">
      <c r="A444" t="s">
        <v>1137</v>
      </c>
      <c r="B444" s="4">
        <v>45476</v>
      </c>
      <c r="C444" t="s">
        <v>1136</v>
      </c>
      <c r="D444" t="s">
        <v>28</v>
      </c>
      <c r="E444" t="s">
        <v>8</v>
      </c>
      <c r="F444" t="s">
        <v>1</v>
      </c>
      <c r="G444" t="s">
        <v>16</v>
      </c>
      <c r="H444">
        <v>8</v>
      </c>
      <c r="I444" s="3">
        <v>2808</v>
      </c>
      <c r="J444" s="2">
        <v>0</v>
      </c>
      <c r="K444" s="3">
        <v>22464</v>
      </c>
      <c r="L444" s="3">
        <v>13923.83</v>
      </c>
      <c r="M444" s="3">
        <v>8540.17</v>
      </c>
    </row>
    <row r="445" spans="1:13" x14ac:dyDescent="0.3">
      <c r="A445" t="s">
        <v>1135</v>
      </c>
      <c r="B445" s="4">
        <v>45974</v>
      </c>
      <c r="C445" t="s">
        <v>1134</v>
      </c>
      <c r="D445" t="s">
        <v>28</v>
      </c>
      <c r="E445" t="s">
        <v>8</v>
      </c>
      <c r="F445" t="s">
        <v>13</v>
      </c>
      <c r="G445" t="s">
        <v>6</v>
      </c>
      <c r="H445">
        <v>14</v>
      </c>
      <c r="I445" s="3">
        <v>5147</v>
      </c>
      <c r="J445" s="2">
        <v>0</v>
      </c>
      <c r="K445" s="3">
        <v>72058</v>
      </c>
      <c r="L445" s="3">
        <v>37910.53</v>
      </c>
      <c r="M445" s="3">
        <v>34147.47</v>
      </c>
    </row>
    <row r="446" spans="1:13" x14ac:dyDescent="0.3">
      <c r="A446" t="s">
        <v>1133</v>
      </c>
      <c r="B446" s="4">
        <v>45734</v>
      </c>
      <c r="C446" t="s">
        <v>1132</v>
      </c>
      <c r="D446" t="s">
        <v>9</v>
      </c>
      <c r="E446" t="s">
        <v>8</v>
      </c>
      <c r="F446" t="s">
        <v>33</v>
      </c>
      <c r="G446" t="s">
        <v>16</v>
      </c>
      <c r="H446">
        <v>7</v>
      </c>
      <c r="I446" s="3">
        <v>63358</v>
      </c>
      <c r="J446" s="2">
        <v>0.05</v>
      </c>
      <c r="K446" s="3">
        <v>421330.7</v>
      </c>
      <c r="L446" s="3">
        <v>312847.17</v>
      </c>
      <c r="M446" s="3">
        <v>108483.53</v>
      </c>
    </row>
    <row r="447" spans="1:13" x14ac:dyDescent="0.3">
      <c r="A447" t="s">
        <v>1131</v>
      </c>
      <c r="B447" s="4">
        <v>45554</v>
      </c>
      <c r="C447" t="s">
        <v>1130</v>
      </c>
      <c r="D447" t="s">
        <v>53</v>
      </c>
      <c r="E447" t="s">
        <v>2</v>
      </c>
      <c r="F447" t="s">
        <v>1</v>
      </c>
      <c r="G447" t="s">
        <v>0</v>
      </c>
      <c r="H447">
        <v>9</v>
      </c>
      <c r="I447" s="3">
        <v>10946</v>
      </c>
      <c r="J447" s="2">
        <v>0.1</v>
      </c>
      <c r="K447" s="3">
        <v>88662.6</v>
      </c>
      <c r="L447" s="3">
        <v>54549.25</v>
      </c>
      <c r="M447" s="3">
        <v>34113.35</v>
      </c>
    </row>
    <row r="448" spans="1:13" x14ac:dyDescent="0.3">
      <c r="A448" t="s">
        <v>1129</v>
      </c>
      <c r="B448" s="4">
        <v>45934</v>
      </c>
      <c r="C448" t="s">
        <v>1128</v>
      </c>
      <c r="D448" t="s">
        <v>53</v>
      </c>
      <c r="E448" t="s">
        <v>2</v>
      </c>
      <c r="F448" t="s">
        <v>7</v>
      </c>
      <c r="G448" t="s">
        <v>6</v>
      </c>
      <c r="H448">
        <v>10</v>
      </c>
      <c r="I448" s="3">
        <v>6722</v>
      </c>
      <c r="J448" s="2">
        <v>0.05</v>
      </c>
      <c r="K448" s="3">
        <v>63859</v>
      </c>
      <c r="L448" s="3">
        <v>35723.03</v>
      </c>
      <c r="M448" s="3">
        <v>28135.97</v>
      </c>
    </row>
    <row r="449" spans="1:13" x14ac:dyDescent="0.3">
      <c r="A449" t="s">
        <v>1127</v>
      </c>
      <c r="B449" s="4">
        <v>45765</v>
      </c>
      <c r="C449" t="s">
        <v>1126</v>
      </c>
      <c r="D449" t="s">
        <v>56</v>
      </c>
      <c r="E449" t="s">
        <v>24</v>
      </c>
      <c r="F449" t="s">
        <v>7</v>
      </c>
      <c r="G449" t="s">
        <v>37</v>
      </c>
      <c r="H449">
        <v>10</v>
      </c>
      <c r="I449" s="3">
        <v>62394</v>
      </c>
      <c r="J449" s="2">
        <v>0.15</v>
      </c>
      <c r="K449" s="3">
        <v>530349</v>
      </c>
      <c r="L449" s="3">
        <v>439179</v>
      </c>
      <c r="M449" s="3">
        <v>91170</v>
      </c>
    </row>
    <row r="450" spans="1:13" x14ac:dyDescent="0.3">
      <c r="A450" t="s">
        <v>1125</v>
      </c>
      <c r="B450" s="4">
        <v>46100</v>
      </c>
      <c r="C450" t="s">
        <v>1124</v>
      </c>
      <c r="D450" t="s">
        <v>34</v>
      </c>
      <c r="E450" t="s">
        <v>24</v>
      </c>
      <c r="F450" t="s">
        <v>33</v>
      </c>
      <c r="G450" t="s">
        <v>20</v>
      </c>
      <c r="H450">
        <v>8</v>
      </c>
      <c r="I450" s="3">
        <v>44749</v>
      </c>
      <c r="J450" s="2">
        <v>0.05</v>
      </c>
      <c r="K450" s="3">
        <v>340092.4</v>
      </c>
      <c r="L450" s="3">
        <v>172487.82</v>
      </c>
      <c r="M450" s="3">
        <v>167604.57999999999</v>
      </c>
    </row>
    <row r="451" spans="1:13" x14ac:dyDescent="0.3">
      <c r="A451" t="s">
        <v>1123</v>
      </c>
      <c r="B451" s="4">
        <v>45447</v>
      </c>
      <c r="C451" t="s">
        <v>1122</v>
      </c>
      <c r="D451" t="s">
        <v>53</v>
      </c>
      <c r="E451" t="s">
        <v>2</v>
      </c>
      <c r="F451" t="s">
        <v>23</v>
      </c>
      <c r="G451" t="s">
        <v>20</v>
      </c>
      <c r="H451">
        <v>3</v>
      </c>
      <c r="I451" s="3">
        <v>19828</v>
      </c>
      <c r="J451" s="2">
        <v>0.1</v>
      </c>
      <c r="K451" s="3">
        <v>53535.6</v>
      </c>
      <c r="L451" s="3">
        <v>33971.06</v>
      </c>
      <c r="M451" s="3">
        <v>19564.54</v>
      </c>
    </row>
    <row r="452" spans="1:13" x14ac:dyDescent="0.3">
      <c r="A452" t="s">
        <v>1121</v>
      </c>
      <c r="B452" s="4">
        <v>46012</v>
      </c>
      <c r="C452" t="s">
        <v>1120</v>
      </c>
      <c r="D452" t="s">
        <v>56</v>
      </c>
      <c r="E452" t="s">
        <v>24</v>
      </c>
      <c r="F452" t="s">
        <v>23</v>
      </c>
      <c r="G452" t="s">
        <v>20</v>
      </c>
      <c r="H452">
        <v>10</v>
      </c>
      <c r="I452" s="3">
        <v>70225</v>
      </c>
      <c r="J452" s="2">
        <v>0.2</v>
      </c>
      <c r="K452" s="3">
        <v>561800</v>
      </c>
      <c r="L452" s="3">
        <v>469067.15</v>
      </c>
      <c r="M452" s="3">
        <v>92732.85</v>
      </c>
    </row>
    <row r="453" spans="1:13" x14ac:dyDescent="0.3">
      <c r="A453" t="s">
        <v>1119</v>
      </c>
      <c r="B453" s="4">
        <v>45988</v>
      </c>
      <c r="C453" t="s">
        <v>1118</v>
      </c>
      <c r="D453" t="s">
        <v>3</v>
      </c>
      <c r="E453" t="s">
        <v>2</v>
      </c>
      <c r="F453" t="s">
        <v>7</v>
      </c>
      <c r="G453" t="s">
        <v>0</v>
      </c>
      <c r="H453">
        <v>13</v>
      </c>
      <c r="I453" s="3">
        <v>56869</v>
      </c>
      <c r="J453" s="2">
        <v>0.2</v>
      </c>
      <c r="K453" s="3">
        <v>591437.6</v>
      </c>
      <c r="L453" s="3">
        <v>427087.83</v>
      </c>
      <c r="M453" s="3">
        <v>164349.76999999999</v>
      </c>
    </row>
    <row r="454" spans="1:13" x14ac:dyDescent="0.3">
      <c r="A454" t="s">
        <v>1117</v>
      </c>
      <c r="B454" s="4">
        <v>45661</v>
      </c>
      <c r="C454" t="s">
        <v>1116</v>
      </c>
      <c r="D454" t="s">
        <v>3</v>
      </c>
      <c r="E454" t="s">
        <v>2</v>
      </c>
      <c r="F454" t="s">
        <v>7</v>
      </c>
      <c r="G454" t="s">
        <v>6</v>
      </c>
      <c r="H454">
        <v>11</v>
      </c>
      <c r="I454" s="3">
        <v>10441</v>
      </c>
      <c r="J454" s="2">
        <v>0.1</v>
      </c>
      <c r="K454" s="3">
        <v>103365.9</v>
      </c>
      <c r="L454" s="3">
        <v>86520.88</v>
      </c>
      <c r="M454" s="3">
        <v>16845.02</v>
      </c>
    </row>
    <row r="455" spans="1:13" x14ac:dyDescent="0.3">
      <c r="A455" t="s">
        <v>1115</v>
      </c>
      <c r="B455" s="4">
        <v>46158</v>
      </c>
      <c r="C455" t="s">
        <v>1114</v>
      </c>
      <c r="D455" t="s">
        <v>34</v>
      </c>
      <c r="E455" t="s">
        <v>24</v>
      </c>
      <c r="F455" t="s">
        <v>33</v>
      </c>
      <c r="G455" t="s">
        <v>0</v>
      </c>
      <c r="H455">
        <v>14</v>
      </c>
      <c r="I455" s="3">
        <v>33139</v>
      </c>
      <c r="J455" s="2">
        <v>0.1</v>
      </c>
      <c r="K455" s="3">
        <v>417551.4</v>
      </c>
      <c r="L455" s="3">
        <v>336338.35</v>
      </c>
      <c r="M455" s="3">
        <v>81213.05</v>
      </c>
    </row>
    <row r="456" spans="1:13" x14ac:dyDescent="0.3">
      <c r="A456" t="s">
        <v>1113</v>
      </c>
      <c r="B456" s="4">
        <v>45458</v>
      </c>
      <c r="C456" t="s">
        <v>1112</v>
      </c>
      <c r="D456" t="s">
        <v>53</v>
      </c>
      <c r="E456" t="s">
        <v>2</v>
      </c>
      <c r="F456" t="s">
        <v>1</v>
      </c>
      <c r="G456" t="s">
        <v>12</v>
      </c>
      <c r="H456">
        <v>6</v>
      </c>
      <c r="I456" s="3">
        <v>43362</v>
      </c>
      <c r="J456" s="2">
        <v>0.15</v>
      </c>
      <c r="K456" s="3">
        <v>221146.2</v>
      </c>
      <c r="L456" s="3">
        <v>149562.64000000001</v>
      </c>
      <c r="M456" s="3">
        <v>71583.56</v>
      </c>
    </row>
    <row r="457" spans="1:13" x14ac:dyDescent="0.3">
      <c r="A457" t="s">
        <v>1111</v>
      </c>
      <c r="B457" s="4">
        <v>46068</v>
      </c>
      <c r="C457" t="s">
        <v>1110</v>
      </c>
      <c r="D457" t="s">
        <v>25</v>
      </c>
      <c r="E457" t="s">
        <v>24</v>
      </c>
      <c r="F457" t="s">
        <v>33</v>
      </c>
      <c r="G457" t="s">
        <v>16</v>
      </c>
      <c r="H457">
        <v>3</v>
      </c>
      <c r="I457" s="3">
        <v>27917</v>
      </c>
      <c r="J457" s="2">
        <v>0</v>
      </c>
      <c r="K457" s="3">
        <v>83751</v>
      </c>
      <c r="L457" s="3">
        <v>67927.75</v>
      </c>
      <c r="M457" s="3">
        <v>15823.25</v>
      </c>
    </row>
    <row r="458" spans="1:13" x14ac:dyDescent="0.3">
      <c r="A458" t="s">
        <v>1109</v>
      </c>
      <c r="B458" s="4">
        <v>45900</v>
      </c>
      <c r="C458" t="s">
        <v>1108</v>
      </c>
      <c r="D458" t="s">
        <v>56</v>
      </c>
      <c r="E458" t="s">
        <v>24</v>
      </c>
      <c r="F458" t="s">
        <v>1</v>
      </c>
      <c r="G458" t="s">
        <v>0</v>
      </c>
      <c r="H458">
        <v>10</v>
      </c>
      <c r="I458" s="3">
        <v>40637</v>
      </c>
      <c r="J458" s="2">
        <v>0.05</v>
      </c>
      <c r="K458" s="3">
        <v>386051.5</v>
      </c>
      <c r="L458" s="3">
        <v>272312.03999999998</v>
      </c>
      <c r="M458" s="3">
        <v>113739.46</v>
      </c>
    </row>
    <row r="459" spans="1:13" x14ac:dyDescent="0.3">
      <c r="A459" t="s">
        <v>1107</v>
      </c>
      <c r="B459" s="4">
        <v>45480</v>
      </c>
      <c r="C459" t="s">
        <v>1106</v>
      </c>
      <c r="D459" t="s">
        <v>28</v>
      </c>
      <c r="E459" t="s">
        <v>8</v>
      </c>
      <c r="F459" t="s">
        <v>1</v>
      </c>
      <c r="G459" t="s">
        <v>20</v>
      </c>
      <c r="H459">
        <v>5</v>
      </c>
      <c r="I459" s="3">
        <v>73256</v>
      </c>
      <c r="J459" s="2">
        <v>0.1</v>
      </c>
      <c r="K459" s="3">
        <v>329652</v>
      </c>
      <c r="L459" s="3">
        <v>173306.36</v>
      </c>
      <c r="M459" s="3">
        <v>156345.64000000001</v>
      </c>
    </row>
    <row r="460" spans="1:13" x14ac:dyDescent="0.3">
      <c r="A460" t="s">
        <v>1105</v>
      </c>
      <c r="B460" s="4">
        <v>45798</v>
      </c>
      <c r="C460" t="s">
        <v>1104</v>
      </c>
      <c r="D460" t="s">
        <v>53</v>
      </c>
      <c r="E460" t="s">
        <v>2</v>
      </c>
      <c r="F460" t="s">
        <v>33</v>
      </c>
      <c r="G460" t="s">
        <v>0</v>
      </c>
      <c r="H460">
        <v>3</v>
      </c>
      <c r="I460" s="3">
        <v>40876</v>
      </c>
      <c r="J460" s="2">
        <v>0.2</v>
      </c>
      <c r="K460" s="3">
        <v>98102.399999999994</v>
      </c>
      <c r="L460" s="3">
        <v>61188.57</v>
      </c>
      <c r="M460" s="3">
        <v>36913.83</v>
      </c>
    </row>
    <row r="461" spans="1:13" x14ac:dyDescent="0.3">
      <c r="A461" t="s">
        <v>1103</v>
      </c>
      <c r="B461" s="4">
        <v>45716</v>
      </c>
      <c r="C461" t="s">
        <v>1102</v>
      </c>
      <c r="D461" t="s">
        <v>28</v>
      </c>
      <c r="E461" t="s">
        <v>8</v>
      </c>
      <c r="F461" t="s">
        <v>1</v>
      </c>
      <c r="G461" t="s">
        <v>0</v>
      </c>
      <c r="H461">
        <v>12</v>
      </c>
      <c r="I461" s="3">
        <v>9879</v>
      </c>
      <c r="J461" s="2">
        <v>0.15</v>
      </c>
      <c r="K461" s="3">
        <v>100765.8</v>
      </c>
      <c r="L461" s="3">
        <v>61642.48</v>
      </c>
      <c r="M461" s="3">
        <v>39123.32</v>
      </c>
    </row>
    <row r="462" spans="1:13" x14ac:dyDescent="0.3">
      <c r="A462" t="s">
        <v>1101</v>
      </c>
      <c r="B462" s="4">
        <v>45804</v>
      </c>
      <c r="C462" t="s">
        <v>1100</v>
      </c>
      <c r="D462" t="s">
        <v>34</v>
      </c>
      <c r="E462" t="s">
        <v>24</v>
      </c>
      <c r="F462" t="s">
        <v>23</v>
      </c>
      <c r="G462" t="s">
        <v>12</v>
      </c>
      <c r="H462">
        <v>1</v>
      </c>
      <c r="I462" s="3">
        <v>22569</v>
      </c>
      <c r="J462" s="2">
        <v>0.1</v>
      </c>
      <c r="K462" s="3">
        <v>20312.099999999999</v>
      </c>
      <c r="L462" s="3">
        <v>11840.24</v>
      </c>
      <c r="M462" s="3">
        <v>8471.86</v>
      </c>
    </row>
    <row r="463" spans="1:13" x14ac:dyDescent="0.3">
      <c r="A463" t="s">
        <v>1099</v>
      </c>
      <c r="B463" s="4">
        <v>46043</v>
      </c>
      <c r="C463" t="s">
        <v>1098</v>
      </c>
      <c r="D463" t="s">
        <v>17</v>
      </c>
      <c r="E463" t="s">
        <v>2</v>
      </c>
      <c r="F463" t="s">
        <v>13</v>
      </c>
      <c r="G463" t="s">
        <v>6</v>
      </c>
      <c r="H463">
        <v>8</v>
      </c>
      <c r="I463" s="3">
        <v>27259</v>
      </c>
      <c r="J463" s="2">
        <v>0.2</v>
      </c>
      <c r="K463" s="3">
        <v>174457.60000000001</v>
      </c>
      <c r="L463" s="3">
        <v>104486.56</v>
      </c>
      <c r="M463" s="3">
        <v>69971.039999999994</v>
      </c>
    </row>
    <row r="464" spans="1:13" x14ac:dyDescent="0.3">
      <c r="A464" t="s">
        <v>1097</v>
      </c>
      <c r="B464" s="4">
        <v>45917</v>
      </c>
      <c r="C464" t="s">
        <v>1096</v>
      </c>
      <c r="D464" t="s">
        <v>3</v>
      </c>
      <c r="E464" t="s">
        <v>2</v>
      </c>
      <c r="F464" t="s">
        <v>23</v>
      </c>
      <c r="G464" t="s">
        <v>37</v>
      </c>
      <c r="H464">
        <v>4</v>
      </c>
      <c r="I464" s="3">
        <v>8444</v>
      </c>
      <c r="J464" s="2">
        <v>0.05</v>
      </c>
      <c r="K464" s="3">
        <v>32087.200000000001</v>
      </c>
      <c r="L464" s="3">
        <v>22793.39</v>
      </c>
      <c r="M464" s="3">
        <v>9293.81</v>
      </c>
    </row>
    <row r="465" spans="1:13" x14ac:dyDescent="0.3">
      <c r="A465" t="s">
        <v>1095</v>
      </c>
      <c r="B465" s="4">
        <v>45691</v>
      </c>
      <c r="C465" t="s">
        <v>1094</v>
      </c>
      <c r="D465" t="s">
        <v>28</v>
      </c>
      <c r="E465" t="s">
        <v>8</v>
      </c>
      <c r="F465" t="s">
        <v>13</v>
      </c>
      <c r="G465" t="s">
        <v>6</v>
      </c>
      <c r="H465">
        <v>12</v>
      </c>
      <c r="I465" s="3">
        <v>18913</v>
      </c>
      <c r="J465" s="2">
        <v>0</v>
      </c>
      <c r="K465" s="3">
        <v>226956</v>
      </c>
      <c r="L465" s="3">
        <v>128425.76</v>
      </c>
      <c r="M465" s="3">
        <v>98530.240000000005</v>
      </c>
    </row>
    <row r="466" spans="1:13" x14ac:dyDescent="0.3">
      <c r="A466" t="s">
        <v>1093</v>
      </c>
      <c r="B466" s="4">
        <v>45551</v>
      </c>
      <c r="C466" t="s">
        <v>1092</v>
      </c>
      <c r="D466" t="s">
        <v>53</v>
      </c>
      <c r="E466" t="s">
        <v>2</v>
      </c>
      <c r="F466" t="s">
        <v>23</v>
      </c>
      <c r="G466" t="s">
        <v>6</v>
      </c>
      <c r="H466">
        <v>6</v>
      </c>
      <c r="I466" s="3">
        <v>4614</v>
      </c>
      <c r="J466" s="2">
        <v>0.05</v>
      </c>
      <c r="K466" s="3">
        <v>26299.8</v>
      </c>
      <c r="L466" s="3">
        <v>16109.73</v>
      </c>
      <c r="M466" s="3">
        <v>10190.07</v>
      </c>
    </row>
    <row r="467" spans="1:13" x14ac:dyDescent="0.3">
      <c r="A467" t="s">
        <v>1091</v>
      </c>
      <c r="B467" s="4">
        <v>46123</v>
      </c>
      <c r="C467" t="s">
        <v>1090</v>
      </c>
      <c r="D467" t="s">
        <v>56</v>
      </c>
      <c r="E467" t="s">
        <v>24</v>
      </c>
      <c r="F467" t="s">
        <v>33</v>
      </c>
      <c r="G467" t="s">
        <v>37</v>
      </c>
      <c r="H467">
        <v>10</v>
      </c>
      <c r="I467" s="3">
        <v>45272</v>
      </c>
      <c r="J467" s="2">
        <v>0.05</v>
      </c>
      <c r="K467" s="3">
        <v>430084</v>
      </c>
      <c r="L467" s="3">
        <v>223689.62</v>
      </c>
      <c r="M467" s="3">
        <v>206394.38</v>
      </c>
    </row>
    <row r="468" spans="1:13" x14ac:dyDescent="0.3">
      <c r="A468" t="s">
        <v>1089</v>
      </c>
      <c r="B468" s="4">
        <v>46033</v>
      </c>
      <c r="C468" t="s">
        <v>1088</v>
      </c>
      <c r="D468" t="s">
        <v>53</v>
      </c>
      <c r="E468" t="s">
        <v>2</v>
      </c>
      <c r="F468" t="s">
        <v>33</v>
      </c>
      <c r="G468" t="s">
        <v>0</v>
      </c>
      <c r="H468">
        <v>10</v>
      </c>
      <c r="I468" s="3">
        <v>44846</v>
      </c>
      <c r="J468" s="2">
        <v>0.15</v>
      </c>
      <c r="K468" s="3">
        <v>381191</v>
      </c>
      <c r="L468" s="3">
        <v>322387.99</v>
      </c>
      <c r="M468" s="3">
        <v>58803.01</v>
      </c>
    </row>
    <row r="469" spans="1:13" x14ac:dyDescent="0.3">
      <c r="A469" t="s">
        <v>1087</v>
      </c>
      <c r="B469" s="4">
        <v>45435</v>
      </c>
      <c r="C469" t="s">
        <v>1086</v>
      </c>
      <c r="D469" t="s">
        <v>25</v>
      </c>
      <c r="E469" t="s">
        <v>24</v>
      </c>
      <c r="F469" t="s">
        <v>7</v>
      </c>
      <c r="G469" t="s">
        <v>37</v>
      </c>
      <c r="H469">
        <v>1</v>
      </c>
      <c r="I469" s="3">
        <v>42535</v>
      </c>
      <c r="J469" s="2">
        <v>0.2</v>
      </c>
      <c r="K469" s="3">
        <v>34028</v>
      </c>
      <c r="L469" s="3">
        <v>24804.11</v>
      </c>
      <c r="M469" s="3">
        <v>9223.89</v>
      </c>
    </row>
    <row r="470" spans="1:13" x14ac:dyDescent="0.3">
      <c r="A470" t="s">
        <v>1085</v>
      </c>
      <c r="B470" s="4">
        <v>46149</v>
      </c>
      <c r="C470" t="s">
        <v>1084</v>
      </c>
      <c r="D470" t="s">
        <v>34</v>
      </c>
      <c r="E470" t="s">
        <v>24</v>
      </c>
      <c r="F470" t="s">
        <v>1</v>
      </c>
      <c r="G470" t="s">
        <v>12</v>
      </c>
      <c r="H470">
        <v>12</v>
      </c>
      <c r="I470" s="3">
        <v>44144</v>
      </c>
      <c r="J470" s="2">
        <v>0.05</v>
      </c>
      <c r="K470" s="3">
        <v>503241.6</v>
      </c>
      <c r="L470" s="3">
        <v>268080.34999999998</v>
      </c>
      <c r="M470" s="3">
        <v>235161.25</v>
      </c>
    </row>
    <row r="471" spans="1:13" x14ac:dyDescent="0.3">
      <c r="A471" t="s">
        <v>1083</v>
      </c>
      <c r="B471" s="4">
        <v>46081</v>
      </c>
      <c r="C471" t="s">
        <v>1082</v>
      </c>
      <c r="D471" t="s">
        <v>53</v>
      </c>
      <c r="E471" t="s">
        <v>2</v>
      </c>
      <c r="F471" t="s">
        <v>33</v>
      </c>
      <c r="G471" t="s">
        <v>0</v>
      </c>
      <c r="H471">
        <v>13</v>
      </c>
      <c r="I471" s="3">
        <v>12779</v>
      </c>
      <c r="J471" s="2">
        <v>0.1</v>
      </c>
      <c r="K471" s="3">
        <v>149514.29999999999</v>
      </c>
      <c r="L471" s="3">
        <v>117354.68</v>
      </c>
      <c r="M471" s="3">
        <v>32159.62</v>
      </c>
    </row>
    <row r="472" spans="1:13" x14ac:dyDescent="0.3">
      <c r="A472" t="s">
        <v>1081</v>
      </c>
      <c r="B472" s="4">
        <v>45548</v>
      </c>
      <c r="C472" t="s">
        <v>1080</v>
      </c>
      <c r="D472" t="s">
        <v>9</v>
      </c>
      <c r="E472" t="s">
        <v>8</v>
      </c>
      <c r="F472" t="s">
        <v>13</v>
      </c>
      <c r="G472" t="s">
        <v>20</v>
      </c>
      <c r="H472">
        <v>10</v>
      </c>
      <c r="I472" s="3">
        <v>73744</v>
      </c>
      <c r="J472" s="2">
        <v>0.05</v>
      </c>
      <c r="K472" s="3">
        <v>700568</v>
      </c>
      <c r="L472" s="3">
        <v>511467.72</v>
      </c>
      <c r="M472" s="3">
        <v>189100.28</v>
      </c>
    </row>
    <row r="473" spans="1:13" x14ac:dyDescent="0.3">
      <c r="A473" t="s">
        <v>1079</v>
      </c>
      <c r="B473" s="4">
        <v>45965</v>
      </c>
      <c r="C473" t="s">
        <v>1078</v>
      </c>
      <c r="D473" t="s">
        <v>25</v>
      </c>
      <c r="E473" t="s">
        <v>24</v>
      </c>
      <c r="F473" t="s">
        <v>7</v>
      </c>
      <c r="G473" t="s">
        <v>6</v>
      </c>
      <c r="H473">
        <v>12</v>
      </c>
      <c r="I473" s="3">
        <v>34794</v>
      </c>
      <c r="J473" s="2">
        <v>0.15</v>
      </c>
      <c r="K473" s="3">
        <v>354898.8</v>
      </c>
      <c r="L473" s="3">
        <v>272263.45</v>
      </c>
      <c r="M473" s="3">
        <v>82635.350000000006</v>
      </c>
    </row>
    <row r="474" spans="1:13" x14ac:dyDescent="0.3">
      <c r="A474" t="s">
        <v>1077</v>
      </c>
      <c r="B474" s="4">
        <v>45853</v>
      </c>
      <c r="C474" t="s">
        <v>1076</v>
      </c>
      <c r="D474" t="s">
        <v>9</v>
      </c>
      <c r="E474" t="s">
        <v>8</v>
      </c>
      <c r="F474" t="s">
        <v>13</v>
      </c>
      <c r="G474" t="s">
        <v>0</v>
      </c>
      <c r="H474">
        <v>8</v>
      </c>
      <c r="I474" s="3">
        <v>74308</v>
      </c>
      <c r="J474" s="2">
        <v>0.1</v>
      </c>
      <c r="K474" s="3">
        <v>535017.6</v>
      </c>
      <c r="L474" s="3">
        <v>335174.73</v>
      </c>
      <c r="M474" s="3">
        <v>199842.87</v>
      </c>
    </row>
    <row r="475" spans="1:13" x14ac:dyDescent="0.3">
      <c r="A475" t="s">
        <v>1075</v>
      </c>
      <c r="B475" s="4">
        <v>46016</v>
      </c>
      <c r="C475" t="s">
        <v>1074</v>
      </c>
      <c r="D475" t="s">
        <v>17</v>
      </c>
      <c r="E475" t="s">
        <v>2</v>
      </c>
      <c r="F475" t="s">
        <v>7</v>
      </c>
      <c r="G475" t="s">
        <v>12</v>
      </c>
      <c r="H475">
        <v>1</v>
      </c>
      <c r="I475" s="3">
        <v>74155</v>
      </c>
      <c r="J475" s="2">
        <v>0.15</v>
      </c>
      <c r="K475" s="3">
        <v>63031.75</v>
      </c>
      <c r="L475" s="3">
        <v>33717.370000000003</v>
      </c>
      <c r="M475" s="3">
        <v>29314.38</v>
      </c>
    </row>
    <row r="476" spans="1:13" x14ac:dyDescent="0.3">
      <c r="A476" t="s">
        <v>1073</v>
      </c>
      <c r="B476" s="4">
        <v>45478</v>
      </c>
      <c r="C476" t="s">
        <v>1072</v>
      </c>
      <c r="D476" t="s">
        <v>42</v>
      </c>
      <c r="E476" t="s">
        <v>8</v>
      </c>
      <c r="F476" t="s">
        <v>23</v>
      </c>
      <c r="G476" t="s">
        <v>37</v>
      </c>
      <c r="H476">
        <v>7</v>
      </c>
      <c r="I476" s="3">
        <v>12784</v>
      </c>
      <c r="J476" s="2">
        <v>0</v>
      </c>
      <c r="K476" s="3">
        <v>89488</v>
      </c>
      <c r="L476" s="3">
        <v>64307.91</v>
      </c>
      <c r="M476" s="3">
        <v>25180.09</v>
      </c>
    </row>
    <row r="477" spans="1:13" x14ac:dyDescent="0.3">
      <c r="A477" t="s">
        <v>1071</v>
      </c>
      <c r="B477" s="4">
        <v>45631</v>
      </c>
      <c r="C477" t="s">
        <v>1070</v>
      </c>
      <c r="D477" t="s">
        <v>9</v>
      </c>
      <c r="E477" t="s">
        <v>8</v>
      </c>
      <c r="F477" t="s">
        <v>13</v>
      </c>
      <c r="G477" t="s">
        <v>0</v>
      </c>
      <c r="H477">
        <v>4</v>
      </c>
      <c r="I477" s="3">
        <v>73777</v>
      </c>
      <c r="J477" s="2">
        <v>0.05</v>
      </c>
      <c r="K477" s="3">
        <v>280352.59999999998</v>
      </c>
      <c r="L477" s="3">
        <v>165601.35999999999</v>
      </c>
      <c r="M477" s="3">
        <v>114751.24</v>
      </c>
    </row>
    <row r="478" spans="1:13" x14ac:dyDescent="0.3">
      <c r="A478" t="s">
        <v>1069</v>
      </c>
      <c r="B478" s="4">
        <v>45853</v>
      </c>
      <c r="C478" t="s">
        <v>1068</v>
      </c>
      <c r="D478" t="s">
        <v>42</v>
      </c>
      <c r="E478" t="s">
        <v>8</v>
      </c>
      <c r="F478" t="s">
        <v>7</v>
      </c>
      <c r="G478" t="s">
        <v>6</v>
      </c>
      <c r="H478">
        <v>15</v>
      </c>
      <c r="I478" s="3">
        <v>24256</v>
      </c>
      <c r="J478" s="2">
        <v>0.05</v>
      </c>
      <c r="K478" s="3">
        <v>345648</v>
      </c>
      <c r="L478" s="3">
        <v>236760</v>
      </c>
      <c r="M478" s="3">
        <v>108888</v>
      </c>
    </row>
    <row r="479" spans="1:13" x14ac:dyDescent="0.3">
      <c r="A479" t="s">
        <v>1067</v>
      </c>
      <c r="B479" s="4">
        <v>45614</v>
      </c>
      <c r="C479" t="s">
        <v>1066</v>
      </c>
      <c r="D479" t="s">
        <v>17</v>
      </c>
      <c r="E479" t="s">
        <v>2</v>
      </c>
      <c r="F479" t="s">
        <v>7</v>
      </c>
      <c r="G479" t="s">
        <v>16</v>
      </c>
      <c r="H479">
        <v>14</v>
      </c>
      <c r="I479" s="3">
        <v>66396</v>
      </c>
      <c r="J479" s="2">
        <v>0.05</v>
      </c>
      <c r="K479" s="3">
        <v>883066.8</v>
      </c>
      <c r="L479" s="3">
        <v>638142.89</v>
      </c>
      <c r="M479" s="3">
        <v>244923.91</v>
      </c>
    </row>
    <row r="480" spans="1:13" x14ac:dyDescent="0.3">
      <c r="A480" t="s">
        <v>1065</v>
      </c>
      <c r="B480" s="4">
        <v>46081</v>
      </c>
      <c r="C480" t="s">
        <v>1064</v>
      </c>
      <c r="D480" t="s">
        <v>25</v>
      </c>
      <c r="E480" t="s">
        <v>24</v>
      </c>
      <c r="F480" t="s">
        <v>23</v>
      </c>
      <c r="G480" t="s">
        <v>37</v>
      </c>
      <c r="H480">
        <v>6</v>
      </c>
      <c r="I480" s="3">
        <v>4469</v>
      </c>
      <c r="J480" s="2">
        <v>0</v>
      </c>
      <c r="K480" s="3">
        <v>26814</v>
      </c>
      <c r="L480" s="3">
        <v>19601.3</v>
      </c>
      <c r="M480" s="3">
        <v>7212.7</v>
      </c>
    </row>
    <row r="481" spans="1:13" x14ac:dyDescent="0.3">
      <c r="A481" t="s">
        <v>1063</v>
      </c>
      <c r="B481" s="4">
        <v>45580</v>
      </c>
      <c r="C481" t="s">
        <v>1062</v>
      </c>
      <c r="D481" t="s">
        <v>28</v>
      </c>
      <c r="E481" t="s">
        <v>8</v>
      </c>
      <c r="F481" t="s">
        <v>33</v>
      </c>
      <c r="G481" t="s">
        <v>16</v>
      </c>
      <c r="H481">
        <v>11</v>
      </c>
      <c r="I481" s="3">
        <v>46964</v>
      </c>
      <c r="J481" s="2">
        <v>0</v>
      </c>
      <c r="K481" s="3">
        <v>516604</v>
      </c>
      <c r="L481" s="3">
        <v>299548.11</v>
      </c>
      <c r="M481" s="3">
        <v>217055.89</v>
      </c>
    </row>
    <row r="482" spans="1:13" x14ac:dyDescent="0.3">
      <c r="A482" t="s">
        <v>1061</v>
      </c>
      <c r="B482" s="4">
        <v>45659</v>
      </c>
      <c r="C482" t="s">
        <v>1060</v>
      </c>
      <c r="D482" t="s">
        <v>34</v>
      </c>
      <c r="E482" t="s">
        <v>24</v>
      </c>
      <c r="F482" t="s">
        <v>7</v>
      </c>
      <c r="G482" t="s">
        <v>6</v>
      </c>
      <c r="H482">
        <v>11</v>
      </c>
      <c r="I482" s="3">
        <v>30370</v>
      </c>
      <c r="J482" s="2">
        <v>0</v>
      </c>
      <c r="K482" s="3">
        <v>334070</v>
      </c>
      <c r="L482" s="3">
        <v>196491.65</v>
      </c>
      <c r="M482" s="3">
        <v>137578.35</v>
      </c>
    </row>
    <row r="483" spans="1:13" x14ac:dyDescent="0.3">
      <c r="A483" t="s">
        <v>1059</v>
      </c>
      <c r="B483" s="4">
        <v>45835</v>
      </c>
      <c r="C483" t="s">
        <v>1058</v>
      </c>
      <c r="D483" t="s">
        <v>25</v>
      </c>
      <c r="E483" t="s">
        <v>24</v>
      </c>
      <c r="F483" t="s">
        <v>33</v>
      </c>
      <c r="G483" t="s">
        <v>6</v>
      </c>
      <c r="H483">
        <v>4</v>
      </c>
      <c r="I483" s="3">
        <v>47439</v>
      </c>
      <c r="J483" s="2">
        <v>0.05</v>
      </c>
      <c r="K483" s="3">
        <v>180268.2</v>
      </c>
      <c r="L483" s="3">
        <v>110705.57</v>
      </c>
      <c r="M483" s="3">
        <v>69562.63</v>
      </c>
    </row>
    <row r="484" spans="1:13" x14ac:dyDescent="0.3">
      <c r="A484" t="s">
        <v>1057</v>
      </c>
      <c r="B484" s="4">
        <v>45817</v>
      </c>
      <c r="C484" t="s">
        <v>1056</v>
      </c>
      <c r="D484" t="s">
        <v>56</v>
      </c>
      <c r="E484" t="s">
        <v>24</v>
      </c>
      <c r="F484" t="s">
        <v>1</v>
      </c>
      <c r="G484" t="s">
        <v>16</v>
      </c>
      <c r="H484">
        <v>15</v>
      </c>
      <c r="I484" s="3">
        <v>66352</v>
      </c>
      <c r="J484" s="2">
        <v>0.05</v>
      </c>
      <c r="K484" s="3">
        <v>945516</v>
      </c>
      <c r="L484" s="3">
        <v>797515.02</v>
      </c>
      <c r="M484" s="3">
        <v>148000.98000000001</v>
      </c>
    </row>
    <row r="485" spans="1:13" x14ac:dyDescent="0.3">
      <c r="A485" t="s">
        <v>1055</v>
      </c>
      <c r="B485" s="4">
        <v>46045</v>
      </c>
      <c r="C485" t="s">
        <v>1054</v>
      </c>
      <c r="D485" t="s">
        <v>25</v>
      </c>
      <c r="E485" t="s">
        <v>24</v>
      </c>
      <c r="F485" t="s">
        <v>23</v>
      </c>
      <c r="G485" t="s">
        <v>16</v>
      </c>
      <c r="H485">
        <v>14</v>
      </c>
      <c r="I485" s="3">
        <v>40332</v>
      </c>
      <c r="J485" s="2">
        <v>0.1</v>
      </c>
      <c r="K485" s="3">
        <v>508183.2</v>
      </c>
      <c r="L485" s="3">
        <v>269820.64</v>
      </c>
      <c r="M485" s="3">
        <v>238362.56</v>
      </c>
    </row>
    <row r="486" spans="1:13" x14ac:dyDescent="0.3">
      <c r="A486" t="s">
        <v>1053</v>
      </c>
      <c r="B486" s="4">
        <v>45651</v>
      </c>
      <c r="C486" t="s">
        <v>1052</v>
      </c>
      <c r="D486" t="s">
        <v>3</v>
      </c>
      <c r="E486" t="s">
        <v>2</v>
      </c>
      <c r="F486" t="s">
        <v>1</v>
      </c>
      <c r="G486" t="s">
        <v>6</v>
      </c>
      <c r="H486">
        <v>6</v>
      </c>
      <c r="I486" s="3">
        <v>60381</v>
      </c>
      <c r="J486" s="2">
        <v>0.05</v>
      </c>
      <c r="K486" s="3">
        <v>344171.7</v>
      </c>
      <c r="L486" s="3">
        <v>241859.26</v>
      </c>
      <c r="M486" s="3">
        <v>102312.44</v>
      </c>
    </row>
    <row r="487" spans="1:13" x14ac:dyDescent="0.3">
      <c r="A487" t="s">
        <v>1051</v>
      </c>
      <c r="B487" s="4">
        <v>46110</v>
      </c>
      <c r="C487" t="s">
        <v>1050</v>
      </c>
      <c r="D487" t="s">
        <v>25</v>
      </c>
      <c r="E487" t="s">
        <v>24</v>
      </c>
      <c r="F487" t="s">
        <v>1</v>
      </c>
      <c r="G487" t="s">
        <v>0</v>
      </c>
      <c r="H487">
        <v>13</v>
      </c>
      <c r="I487" s="3">
        <v>58550</v>
      </c>
      <c r="J487" s="2">
        <v>0.05</v>
      </c>
      <c r="K487" s="3">
        <v>723092.5</v>
      </c>
      <c r="L487" s="3">
        <v>471588.63</v>
      </c>
      <c r="M487" s="3">
        <v>251503.87</v>
      </c>
    </row>
    <row r="488" spans="1:13" x14ac:dyDescent="0.3">
      <c r="A488" t="s">
        <v>1049</v>
      </c>
      <c r="B488" s="4">
        <v>45637</v>
      </c>
      <c r="C488" t="s">
        <v>1048</v>
      </c>
      <c r="D488" t="s">
        <v>42</v>
      </c>
      <c r="E488" t="s">
        <v>8</v>
      </c>
      <c r="F488" t="s">
        <v>23</v>
      </c>
      <c r="G488" t="s">
        <v>12</v>
      </c>
      <c r="H488">
        <v>13</v>
      </c>
      <c r="I488" s="3">
        <v>15622</v>
      </c>
      <c r="J488" s="2">
        <v>0.05</v>
      </c>
      <c r="K488" s="3">
        <v>192931.7</v>
      </c>
      <c r="L488" s="3">
        <v>162258.98000000001</v>
      </c>
      <c r="M488" s="3">
        <v>30672.720000000001</v>
      </c>
    </row>
    <row r="489" spans="1:13" x14ac:dyDescent="0.3">
      <c r="A489" t="s">
        <v>1047</v>
      </c>
      <c r="B489" s="4">
        <v>45781</v>
      </c>
      <c r="C489" t="s">
        <v>1046</v>
      </c>
      <c r="D489" t="s">
        <v>25</v>
      </c>
      <c r="E489" t="s">
        <v>24</v>
      </c>
      <c r="F489" t="s">
        <v>33</v>
      </c>
      <c r="G489" t="s">
        <v>6</v>
      </c>
      <c r="H489">
        <v>9</v>
      </c>
      <c r="I489" s="3">
        <v>47094</v>
      </c>
      <c r="J489" s="2">
        <v>0</v>
      </c>
      <c r="K489" s="3">
        <v>423846</v>
      </c>
      <c r="L489" s="3">
        <v>323376.03000000003</v>
      </c>
      <c r="M489" s="3">
        <v>100469.97</v>
      </c>
    </row>
    <row r="490" spans="1:13" x14ac:dyDescent="0.3">
      <c r="A490" t="s">
        <v>1045</v>
      </c>
      <c r="B490" s="4">
        <v>45631</v>
      </c>
      <c r="C490" t="s">
        <v>1044</v>
      </c>
      <c r="D490" t="s">
        <v>25</v>
      </c>
      <c r="E490" t="s">
        <v>24</v>
      </c>
      <c r="F490" t="s">
        <v>23</v>
      </c>
      <c r="G490" t="s">
        <v>20</v>
      </c>
      <c r="H490">
        <v>7</v>
      </c>
      <c r="I490" s="3">
        <v>45504</v>
      </c>
      <c r="J490" s="2">
        <v>0.15</v>
      </c>
      <c r="K490" s="3">
        <v>270748.79999999999</v>
      </c>
      <c r="L490" s="3">
        <v>218949.94</v>
      </c>
      <c r="M490" s="3">
        <v>51798.86</v>
      </c>
    </row>
    <row r="491" spans="1:13" x14ac:dyDescent="0.3">
      <c r="A491" t="s">
        <v>1043</v>
      </c>
      <c r="B491" s="4">
        <v>45727</v>
      </c>
      <c r="C491" t="s">
        <v>1042</v>
      </c>
      <c r="D491" t="s">
        <v>3</v>
      </c>
      <c r="E491" t="s">
        <v>2</v>
      </c>
      <c r="F491" t="s">
        <v>13</v>
      </c>
      <c r="G491" t="s">
        <v>12</v>
      </c>
      <c r="H491">
        <v>13</v>
      </c>
      <c r="I491" s="3">
        <v>3012</v>
      </c>
      <c r="J491" s="2">
        <v>0</v>
      </c>
      <c r="K491" s="3">
        <v>39156</v>
      </c>
      <c r="L491" s="3">
        <v>21425.82</v>
      </c>
      <c r="M491" s="3">
        <v>17730.18</v>
      </c>
    </row>
    <row r="492" spans="1:13" x14ac:dyDescent="0.3">
      <c r="A492" t="s">
        <v>1041</v>
      </c>
      <c r="B492" s="4">
        <v>46110</v>
      </c>
      <c r="C492" t="s">
        <v>1040</v>
      </c>
      <c r="D492" t="s">
        <v>28</v>
      </c>
      <c r="E492" t="s">
        <v>8</v>
      </c>
      <c r="F492" t="s">
        <v>7</v>
      </c>
      <c r="G492" t="s">
        <v>37</v>
      </c>
      <c r="H492">
        <v>12</v>
      </c>
      <c r="I492" s="3">
        <v>14745</v>
      </c>
      <c r="J492" s="2">
        <v>0</v>
      </c>
      <c r="K492" s="3">
        <v>176940</v>
      </c>
      <c r="L492" s="3">
        <v>91462.33</v>
      </c>
      <c r="M492" s="3">
        <v>85477.67</v>
      </c>
    </row>
    <row r="493" spans="1:13" x14ac:dyDescent="0.3">
      <c r="A493" t="s">
        <v>1039</v>
      </c>
      <c r="B493" s="4">
        <v>46129</v>
      </c>
      <c r="C493" t="s">
        <v>1038</v>
      </c>
      <c r="D493" t="s">
        <v>3</v>
      </c>
      <c r="E493" t="s">
        <v>2</v>
      </c>
      <c r="F493" t="s">
        <v>1</v>
      </c>
      <c r="G493" t="s">
        <v>12</v>
      </c>
      <c r="H493">
        <v>8</v>
      </c>
      <c r="I493" s="3">
        <v>18800</v>
      </c>
      <c r="J493" s="2">
        <v>0.2</v>
      </c>
      <c r="K493" s="3">
        <v>120320</v>
      </c>
      <c r="L493" s="3">
        <v>78203.929999999993</v>
      </c>
      <c r="M493" s="3">
        <v>42116.07</v>
      </c>
    </row>
    <row r="494" spans="1:13" x14ac:dyDescent="0.3">
      <c r="A494" t="s">
        <v>1037</v>
      </c>
      <c r="B494" s="4">
        <v>45527</v>
      </c>
      <c r="C494" t="s">
        <v>1036</v>
      </c>
      <c r="D494" t="s">
        <v>9</v>
      </c>
      <c r="E494" t="s">
        <v>8</v>
      </c>
      <c r="F494" t="s">
        <v>13</v>
      </c>
      <c r="G494" t="s">
        <v>0</v>
      </c>
      <c r="H494">
        <v>3</v>
      </c>
      <c r="I494" s="3">
        <v>72502</v>
      </c>
      <c r="J494" s="2">
        <v>0.2</v>
      </c>
      <c r="K494" s="3">
        <v>174004.8</v>
      </c>
      <c r="L494" s="3">
        <v>147501.47</v>
      </c>
      <c r="M494" s="3">
        <v>26503.33</v>
      </c>
    </row>
    <row r="495" spans="1:13" x14ac:dyDescent="0.3">
      <c r="A495" t="s">
        <v>1035</v>
      </c>
      <c r="B495" s="4">
        <v>45615</v>
      </c>
      <c r="C495" t="s">
        <v>1034</v>
      </c>
      <c r="D495" t="s">
        <v>25</v>
      </c>
      <c r="E495" t="s">
        <v>24</v>
      </c>
      <c r="F495" t="s">
        <v>7</v>
      </c>
      <c r="G495" t="s">
        <v>6</v>
      </c>
      <c r="H495">
        <v>6</v>
      </c>
      <c r="I495" s="3">
        <v>29198</v>
      </c>
      <c r="J495" s="2">
        <v>0.05</v>
      </c>
      <c r="K495" s="3">
        <v>166428.6</v>
      </c>
      <c r="L495" s="3">
        <v>125818.26</v>
      </c>
      <c r="M495" s="3">
        <v>40610.339999999997</v>
      </c>
    </row>
    <row r="496" spans="1:13" x14ac:dyDescent="0.3">
      <c r="A496" t="s">
        <v>1033</v>
      </c>
      <c r="B496" s="4">
        <v>45739</v>
      </c>
      <c r="C496" t="s">
        <v>1032</v>
      </c>
      <c r="D496" t="s">
        <v>3</v>
      </c>
      <c r="E496" t="s">
        <v>2</v>
      </c>
      <c r="F496" t="s">
        <v>1</v>
      </c>
      <c r="G496" t="s">
        <v>20</v>
      </c>
      <c r="H496">
        <v>5</v>
      </c>
      <c r="I496" s="3">
        <v>36258</v>
      </c>
      <c r="J496" s="2">
        <v>0</v>
      </c>
      <c r="K496" s="3">
        <v>181290</v>
      </c>
      <c r="L496" s="3">
        <v>151959.82</v>
      </c>
      <c r="M496" s="3">
        <v>29330.18</v>
      </c>
    </row>
    <row r="497" spans="1:13" x14ac:dyDescent="0.3">
      <c r="A497" t="s">
        <v>1031</v>
      </c>
      <c r="B497" s="4">
        <v>45616</v>
      </c>
      <c r="C497" t="s">
        <v>1030</v>
      </c>
      <c r="D497" t="s">
        <v>17</v>
      </c>
      <c r="E497" t="s">
        <v>2</v>
      </c>
      <c r="F497" t="s">
        <v>7</v>
      </c>
      <c r="G497" t="s">
        <v>6</v>
      </c>
      <c r="H497">
        <v>13</v>
      </c>
      <c r="I497" s="3">
        <v>73957</v>
      </c>
      <c r="J497" s="2">
        <v>0.1</v>
      </c>
      <c r="K497" s="3">
        <v>865296.9</v>
      </c>
      <c r="L497" s="3">
        <v>513573.42</v>
      </c>
      <c r="M497" s="3">
        <v>351723.48</v>
      </c>
    </row>
    <row r="498" spans="1:13" x14ac:dyDescent="0.3">
      <c r="A498" t="s">
        <v>1029</v>
      </c>
      <c r="B498" s="4">
        <v>45707</v>
      </c>
      <c r="C498" t="s">
        <v>1028</v>
      </c>
      <c r="D498" t="s">
        <v>53</v>
      </c>
      <c r="E498" t="s">
        <v>2</v>
      </c>
      <c r="F498" t="s">
        <v>33</v>
      </c>
      <c r="G498" t="s">
        <v>6</v>
      </c>
      <c r="H498">
        <v>8</v>
      </c>
      <c r="I498" s="3">
        <v>72299</v>
      </c>
      <c r="J498" s="2">
        <v>0.1</v>
      </c>
      <c r="K498" s="3">
        <v>520552.8</v>
      </c>
      <c r="L498" s="3">
        <v>360266.01</v>
      </c>
      <c r="M498" s="3">
        <v>160286.79</v>
      </c>
    </row>
    <row r="499" spans="1:13" x14ac:dyDescent="0.3">
      <c r="A499" t="s">
        <v>1027</v>
      </c>
      <c r="B499" s="4">
        <v>46147</v>
      </c>
      <c r="C499" t="s">
        <v>1026</v>
      </c>
      <c r="D499" t="s">
        <v>28</v>
      </c>
      <c r="E499" t="s">
        <v>8</v>
      </c>
      <c r="F499" t="s">
        <v>33</v>
      </c>
      <c r="G499" t="s">
        <v>12</v>
      </c>
      <c r="H499">
        <v>7</v>
      </c>
      <c r="I499" s="3">
        <v>56307</v>
      </c>
      <c r="J499" s="2">
        <v>0.1</v>
      </c>
      <c r="K499" s="3">
        <v>354734.1</v>
      </c>
      <c r="L499" s="3">
        <v>244411.39</v>
      </c>
      <c r="M499" s="3">
        <v>110322.71</v>
      </c>
    </row>
    <row r="500" spans="1:13" x14ac:dyDescent="0.3">
      <c r="A500" t="s">
        <v>1025</v>
      </c>
      <c r="B500" s="4">
        <v>45936</v>
      </c>
      <c r="C500" t="s">
        <v>1024</v>
      </c>
      <c r="D500" t="s">
        <v>56</v>
      </c>
      <c r="E500" t="s">
        <v>24</v>
      </c>
      <c r="F500" t="s">
        <v>23</v>
      </c>
      <c r="G500" t="s">
        <v>12</v>
      </c>
      <c r="H500">
        <v>15</v>
      </c>
      <c r="I500" s="3">
        <v>54735</v>
      </c>
      <c r="J500" s="2">
        <v>0.05</v>
      </c>
      <c r="K500" s="3">
        <v>779973.75</v>
      </c>
      <c r="L500" s="3">
        <v>635159.17000000004</v>
      </c>
      <c r="M500" s="3">
        <v>144814.57999999999</v>
      </c>
    </row>
    <row r="501" spans="1:13" x14ac:dyDescent="0.3">
      <c r="A501" t="s">
        <v>1023</v>
      </c>
      <c r="B501" s="4">
        <v>45680</v>
      </c>
      <c r="C501" t="s">
        <v>1022</v>
      </c>
      <c r="D501" t="s">
        <v>9</v>
      </c>
      <c r="E501" t="s">
        <v>8</v>
      </c>
      <c r="F501" t="s">
        <v>1</v>
      </c>
      <c r="G501" t="s">
        <v>12</v>
      </c>
      <c r="H501">
        <v>15</v>
      </c>
      <c r="I501" s="3">
        <v>34379</v>
      </c>
      <c r="J501" s="2">
        <v>0.2</v>
      </c>
      <c r="K501" s="3">
        <v>412548</v>
      </c>
      <c r="L501" s="3">
        <v>311679.58</v>
      </c>
      <c r="M501" s="3">
        <v>100868.42</v>
      </c>
    </row>
    <row r="502" spans="1:13" x14ac:dyDescent="0.3">
      <c r="A502" t="s">
        <v>1021</v>
      </c>
      <c r="B502" s="4">
        <v>45666</v>
      </c>
      <c r="C502" t="s">
        <v>1020</v>
      </c>
      <c r="D502" t="s">
        <v>42</v>
      </c>
      <c r="E502" t="s">
        <v>8</v>
      </c>
      <c r="F502" t="s">
        <v>13</v>
      </c>
      <c r="G502" t="s">
        <v>0</v>
      </c>
      <c r="H502">
        <v>2</v>
      </c>
      <c r="I502" s="3">
        <v>5410</v>
      </c>
      <c r="J502" s="2">
        <v>0</v>
      </c>
      <c r="K502" s="3">
        <v>10820</v>
      </c>
      <c r="L502" s="3">
        <v>6946.84</v>
      </c>
      <c r="M502" s="3">
        <v>3873.16</v>
      </c>
    </row>
    <row r="503" spans="1:13" x14ac:dyDescent="0.3">
      <c r="A503" t="s">
        <v>1019</v>
      </c>
      <c r="B503" s="4">
        <v>45799</v>
      </c>
      <c r="C503" t="s">
        <v>1018</v>
      </c>
      <c r="D503" t="s">
        <v>9</v>
      </c>
      <c r="E503" t="s">
        <v>8</v>
      </c>
      <c r="F503" t="s">
        <v>13</v>
      </c>
      <c r="G503" t="s">
        <v>37</v>
      </c>
      <c r="H503">
        <v>8</v>
      </c>
      <c r="I503" s="3">
        <v>72951</v>
      </c>
      <c r="J503" s="2">
        <v>0.1</v>
      </c>
      <c r="K503" s="3">
        <v>525247.19999999995</v>
      </c>
      <c r="L503" s="3">
        <v>346360.03</v>
      </c>
      <c r="M503" s="3">
        <v>178887.17</v>
      </c>
    </row>
    <row r="504" spans="1:13" x14ac:dyDescent="0.3">
      <c r="A504" t="s">
        <v>1017</v>
      </c>
      <c r="B504" s="4">
        <v>45807</v>
      </c>
      <c r="C504" t="s">
        <v>1016</v>
      </c>
      <c r="D504" t="s">
        <v>34</v>
      </c>
      <c r="E504" t="s">
        <v>24</v>
      </c>
      <c r="F504" t="s">
        <v>13</v>
      </c>
      <c r="G504" t="s">
        <v>16</v>
      </c>
      <c r="H504">
        <v>11</v>
      </c>
      <c r="I504" s="3">
        <v>62683</v>
      </c>
      <c r="J504" s="2">
        <v>0.2</v>
      </c>
      <c r="K504" s="3">
        <v>551610.4</v>
      </c>
      <c r="L504" s="3">
        <v>341902.09</v>
      </c>
      <c r="M504" s="3">
        <v>209708.31</v>
      </c>
    </row>
    <row r="505" spans="1:13" x14ac:dyDescent="0.3">
      <c r="A505" t="s">
        <v>1015</v>
      </c>
      <c r="B505" s="4">
        <v>46144</v>
      </c>
      <c r="C505" t="s">
        <v>1014</v>
      </c>
      <c r="D505" t="s">
        <v>53</v>
      </c>
      <c r="E505" t="s">
        <v>2</v>
      </c>
      <c r="F505" t="s">
        <v>33</v>
      </c>
      <c r="G505" t="s">
        <v>20</v>
      </c>
      <c r="H505">
        <v>13</v>
      </c>
      <c r="I505" s="3">
        <v>50654</v>
      </c>
      <c r="J505" s="2">
        <v>0.1</v>
      </c>
      <c r="K505" s="3">
        <v>592651.80000000005</v>
      </c>
      <c r="L505" s="3">
        <v>444050.6</v>
      </c>
      <c r="M505" s="3">
        <v>148601.20000000001</v>
      </c>
    </row>
    <row r="506" spans="1:13" x14ac:dyDescent="0.3">
      <c r="A506" t="s">
        <v>1013</v>
      </c>
      <c r="B506" s="4">
        <v>45585</v>
      </c>
      <c r="C506" t="s">
        <v>1012</v>
      </c>
      <c r="D506" t="s">
        <v>34</v>
      </c>
      <c r="E506" t="s">
        <v>24</v>
      </c>
      <c r="F506" t="s">
        <v>13</v>
      </c>
      <c r="G506" t="s">
        <v>6</v>
      </c>
      <c r="H506">
        <v>11</v>
      </c>
      <c r="I506" s="3">
        <v>43223</v>
      </c>
      <c r="J506" s="2">
        <v>0</v>
      </c>
      <c r="K506" s="3">
        <v>475453</v>
      </c>
      <c r="L506" s="3">
        <v>342380.94</v>
      </c>
      <c r="M506" s="3">
        <v>133072.06</v>
      </c>
    </row>
    <row r="507" spans="1:13" x14ac:dyDescent="0.3">
      <c r="A507" t="s">
        <v>1011</v>
      </c>
      <c r="B507" s="4">
        <v>45494</v>
      </c>
      <c r="C507" t="s">
        <v>1010</v>
      </c>
      <c r="D507" t="s">
        <v>53</v>
      </c>
      <c r="E507" t="s">
        <v>2</v>
      </c>
      <c r="F507" t="s">
        <v>33</v>
      </c>
      <c r="G507" t="s">
        <v>6</v>
      </c>
      <c r="H507">
        <v>13</v>
      </c>
      <c r="I507" s="3">
        <v>35724</v>
      </c>
      <c r="J507" s="2">
        <v>0.1</v>
      </c>
      <c r="K507" s="3">
        <v>417970.8</v>
      </c>
      <c r="L507" s="3">
        <v>341925.81</v>
      </c>
      <c r="M507" s="3">
        <v>76044.990000000005</v>
      </c>
    </row>
    <row r="508" spans="1:13" x14ac:dyDescent="0.3">
      <c r="A508" t="s">
        <v>1009</v>
      </c>
      <c r="B508" s="4">
        <v>45542</v>
      </c>
      <c r="C508" t="s">
        <v>1008</v>
      </c>
      <c r="D508" t="s">
        <v>34</v>
      </c>
      <c r="E508" t="s">
        <v>24</v>
      </c>
      <c r="F508" t="s">
        <v>1</v>
      </c>
      <c r="G508" t="s">
        <v>37</v>
      </c>
      <c r="H508">
        <v>10</v>
      </c>
      <c r="I508" s="3">
        <v>63471</v>
      </c>
      <c r="J508" s="2">
        <v>0.2</v>
      </c>
      <c r="K508" s="3">
        <v>507768</v>
      </c>
      <c r="L508" s="3">
        <v>293199.67</v>
      </c>
      <c r="M508" s="3">
        <v>214568.33</v>
      </c>
    </row>
    <row r="509" spans="1:13" x14ac:dyDescent="0.3">
      <c r="A509" t="s">
        <v>1007</v>
      </c>
      <c r="B509" s="4">
        <v>45733</v>
      </c>
      <c r="C509" t="s">
        <v>1006</v>
      </c>
      <c r="D509" t="s">
        <v>28</v>
      </c>
      <c r="E509" t="s">
        <v>8</v>
      </c>
      <c r="F509" t="s">
        <v>7</v>
      </c>
      <c r="G509" t="s">
        <v>12</v>
      </c>
      <c r="H509">
        <v>9</v>
      </c>
      <c r="I509" s="3">
        <v>27848</v>
      </c>
      <c r="J509" s="2">
        <v>0.2</v>
      </c>
      <c r="K509" s="3">
        <v>200505.60000000001</v>
      </c>
      <c r="L509" s="3">
        <v>112122.03</v>
      </c>
      <c r="M509" s="3">
        <v>88383.57</v>
      </c>
    </row>
    <row r="510" spans="1:13" x14ac:dyDescent="0.3">
      <c r="A510" t="s">
        <v>1005</v>
      </c>
      <c r="B510" s="4">
        <v>45697</v>
      </c>
      <c r="C510" t="s">
        <v>1004</v>
      </c>
      <c r="D510" t="s">
        <v>42</v>
      </c>
      <c r="E510" t="s">
        <v>8</v>
      </c>
      <c r="F510" t="s">
        <v>23</v>
      </c>
      <c r="G510" t="s">
        <v>0</v>
      </c>
      <c r="H510">
        <v>3</v>
      </c>
      <c r="I510" s="3">
        <v>61332</v>
      </c>
      <c r="J510" s="2">
        <v>0.05</v>
      </c>
      <c r="K510" s="3">
        <v>174796.2</v>
      </c>
      <c r="L510" s="3">
        <v>126584.62</v>
      </c>
      <c r="M510" s="3">
        <v>48211.58</v>
      </c>
    </row>
    <row r="511" spans="1:13" x14ac:dyDescent="0.3">
      <c r="A511" t="s">
        <v>1003</v>
      </c>
      <c r="B511" s="4">
        <v>45718</v>
      </c>
      <c r="C511" t="s">
        <v>1002</v>
      </c>
      <c r="D511" t="s">
        <v>56</v>
      </c>
      <c r="E511" t="s">
        <v>24</v>
      </c>
      <c r="F511" t="s">
        <v>7</v>
      </c>
      <c r="G511" t="s">
        <v>16</v>
      </c>
      <c r="H511">
        <v>14</v>
      </c>
      <c r="I511" s="3">
        <v>57106</v>
      </c>
      <c r="J511" s="2">
        <v>0</v>
      </c>
      <c r="K511" s="3">
        <v>799484</v>
      </c>
      <c r="L511" s="3">
        <v>514475.25</v>
      </c>
      <c r="M511" s="3">
        <v>285008.75</v>
      </c>
    </row>
    <row r="512" spans="1:13" x14ac:dyDescent="0.3">
      <c r="A512" t="s">
        <v>1001</v>
      </c>
      <c r="B512" s="4">
        <v>45988</v>
      </c>
      <c r="C512" t="s">
        <v>1000</v>
      </c>
      <c r="D512" t="s">
        <v>17</v>
      </c>
      <c r="E512" t="s">
        <v>2</v>
      </c>
      <c r="F512" t="s">
        <v>23</v>
      </c>
      <c r="G512" t="s">
        <v>0</v>
      </c>
      <c r="H512">
        <v>6</v>
      </c>
      <c r="I512" s="3">
        <v>69496</v>
      </c>
      <c r="J512" s="2">
        <v>0.2</v>
      </c>
      <c r="K512" s="3">
        <v>333580.79999999999</v>
      </c>
      <c r="L512" s="3">
        <v>202096.67</v>
      </c>
      <c r="M512" s="3">
        <v>131484.13</v>
      </c>
    </row>
    <row r="513" spans="1:13" x14ac:dyDescent="0.3">
      <c r="A513" t="s">
        <v>999</v>
      </c>
      <c r="B513" s="4">
        <v>45550</v>
      </c>
      <c r="C513" t="s">
        <v>998</v>
      </c>
      <c r="D513" t="s">
        <v>56</v>
      </c>
      <c r="E513" t="s">
        <v>24</v>
      </c>
      <c r="F513" t="s">
        <v>1</v>
      </c>
      <c r="G513" t="s">
        <v>20</v>
      </c>
      <c r="H513">
        <v>8</v>
      </c>
      <c r="I513" s="3">
        <v>15653</v>
      </c>
      <c r="J513" s="2">
        <v>0.15</v>
      </c>
      <c r="K513" s="3">
        <v>106440.4</v>
      </c>
      <c r="L513" s="3">
        <v>76863</v>
      </c>
      <c r="M513" s="3">
        <v>29577.4</v>
      </c>
    </row>
    <row r="514" spans="1:13" x14ac:dyDescent="0.3">
      <c r="A514" t="s">
        <v>997</v>
      </c>
      <c r="B514" s="4">
        <v>45644</v>
      </c>
      <c r="C514" t="s">
        <v>996</v>
      </c>
      <c r="D514" t="s">
        <v>3</v>
      </c>
      <c r="E514" t="s">
        <v>2</v>
      </c>
      <c r="F514" t="s">
        <v>1</v>
      </c>
      <c r="G514" t="s">
        <v>20</v>
      </c>
      <c r="H514">
        <v>11</v>
      </c>
      <c r="I514" s="3">
        <v>18107</v>
      </c>
      <c r="J514" s="2">
        <v>0.1</v>
      </c>
      <c r="K514" s="3">
        <v>179259.3</v>
      </c>
      <c r="L514" s="3">
        <v>120295.84</v>
      </c>
      <c r="M514" s="3">
        <v>58963.46</v>
      </c>
    </row>
    <row r="515" spans="1:13" x14ac:dyDescent="0.3">
      <c r="A515" t="s">
        <v>995</v>
      </c>
      <c r="B515" s="4">
        <v>45636</v>
      </c>
      <c r="C515" t="s">
        <v>994</v>
      </c>
      <c r="D515" t="s">
        <v>34</v>
      </c>
      <c r="E515" t="s">
        <v>24</v>
      </c>
      <c r="F515" t="s">
        <v>1</v>
      </c>
      <c r="G515" t="s">
        <v>37</v>
      </c>
      <c r="H515">
        <v>6</v>
      </c>
      <c r="I515" s="3">
        <v>50955</v>
      </c>
      <c r="J515" s="2">
        <v>0.1</v>
      </c>
      <c r="K515" s="3">
        <v>275157</v>
      </c>
      <c r="L515" s="3">
        <v>139289.51999999999</v>
      </c>
      <c r="M515" s="3">
        <v>135867.48000000001</v>
      </c>
    </row>
    <row r="516" spans="1:13" x14ac:dyDescent="0.3">
      <c r="A516" t="s">
        <v>993</v>
      </c>
      <c r="B516" s="4">
        <v>45832</v>
      </c>
      <c r="C516" t="s">
        <v>992</v>
      </c>
      <c r="D516" t="s">
        <v>28</v>
      </c>
      <c r="E516" t="s">
        <v>8</v>
      </c>
      <c r="F516" t="s">
        <v>7</v>
      </c>
      <c r="G516" t="s">
        <v>0</v>
      </c>
      <c r="H516">
        <v>1</v>
      </c>
      <c r="I516" s="3">
        <v>24387</v>
      </c>
      <c r="J516" s="2">
        <v>0.1</v>
      </c>
      <c r="K516" s="3">
        <v>21948.3</v>
      </c>
      <c r="L516" s="3">
        <v>16491.14</v>
      </c>
      <c r="M516" s="3">
        <v>5457.16</v>
      </c>
    </row>
    <row r="517" spans="1:13" x14ac:dyDescent="0.3">
      <c r="A517" t="s">
        <v>991</v>
      </c>
      <c r="B517" s="4">
        <v>45598</v>
      </c>
      <c r="C517" t="s">
        <v>990</v>
      </c>
      <c r="D517" t="s">
        <v>25</v>
      </c>
      <c r="E517" t="s">
        <v>24</v>
      </c>
      <c r="F517" t="s">
        <v>33</v>
      </c>
      <c r="G517" t="s">
        <v>37</v>
      </c>
      <c r="H517">
        <v>5</v>
      </c>
      <c r="I517" s="3">
        <v>58418</v>
      </c>
      <c r="J517" s="2">
        <v>0</v>
      </c>
      <c r="K517" s="3">
        <v>292090</v>
      </c>
      <c r="L517" s="3">
        <v>199734.61</v>
      </c>
      <c r="M517" s="3">
        <v>92355.39</v>
      </c>
    </row>
    <row r="518" spans="1:13" x14ac:dyDescent="0.3">
      <c r="A518" t="s">
        <v>989</v>
      </c>
      <c r="B518" s="4">
        <v>46020</v>
      </c>
      <c r="C518" t="s">
        <v>988</v>
      </c>
      <c r="D518" t="s">
        <v>3</v>
      </c>
      <c r="E518" t="s">
        <v>2</v>
      </c>
      <c r="F518" t="s">
        <v>23</v>
      </c>
      <c r="G518" t="s">
        <v>6</v>
      </c>
      <c r="H518">
        <v>7</v>
      </c>
      <c r="I518" s="3">
        <v>39070</v>
      </c>
      <c r="J518" s="2">
        <v>0.2</v>
      </c>
      <c r="K518" s="3">
        <v>218792</v>
      </c>
      <c r="L518" s="3">
        <v>169207.06</v>
      </c>
      <c r="M518" s="3">
        <v>49584.94</v>
      </c>
    </row>
    <row r="519" spans="1:13" x14ac:dyDescent="0.3">
      <c r="A519" t="s">
        <v>987</v>
      </c>
      <c r="B519" s="4">
        <v>45619</v>
      </c>
      <c r="C519" t="s">
        <v>986</v>
      </c>
      <c r="D519" t="s">
        <v>56</v>
      </c>
      <c r="E519" t="s">
        <v>24</v>
      </c>
      <c r="F519" t="s">
        <v>33</v>
      </c>
      <c r="G519" t="s">
        <v>6</v>
      </c>
      <c r="H519">
        <v>6</v>
      </c>
      <c r="I519" s="3">
        <v>6472</v>
      </c>
      <c r="J519" s="2">
        <v>0.1</v>
      </c>
      <c r="K519" s="3">
        <v>34948.800000000003</v>
      </c>
      <c r="L519" s="3">
        <v>29336.87</v>
      </c>
      <c r="M519" s="3">
        <v>5611.93</v>
      </c>
    </row>
    <row r="520" spans="1:13" x14ac:dyDescent="0.3">
      <c r="A520" t="s">
        <v>985</v>
      </c>
      <c r="B520" s="4">
        <v>46130</v>
      </c>
      <c r="C520" t="s">
        <v>984</v>
      </c>
      <c r="D520" t="s">
        <v>28</v>
      </c>
      <c r="E520" t="s">
        <v>8</v>
      </c>
      <c r="F520" t="s">
        <v>1</v>
      </c>
      <c r="G520" t="s">
        <v>20</v>
      </c>
      <c r="H520">
        <v>6</v>
      </c>
      <c r="I520" s="3">
        <v>32277</v>
      </c>
      <c r="J520" s="2">
        <v>0.15</v>
      </c>
      <c r="K520" s="3">
        <v>164612.70000000001</v>
      </c>
      <c r="L520" s="3">
        <v>131261.21</v>
      </c>
      <c r="M520" s="3">
        <v>33351.49</v>
      </c>
    </row>
    <row r="521" spans="1:13" x14ac:dyDescent="0.3">
      <c r="A521" t="s">
        <v>983</v>
      </c>
      <c r="B521" s="4">
        <v>45546</v>
      </c>
      <c r="C521" t="s">
        <v>982</v>
      </c>
      <c r="D521" t="s">
        <v>53</v>
      </c>
      <c r="E521" t="s">
        <v>2</v>
      </c>
      <c r="F521" t="s">
        <v>7</v>
      </c>
      <c r="G521" t="s">
        <v>37</v>
      </c>
      <c r="H521">
        <v>10</v>
      </c>
      <c r="I521" s="3">
        <v>49805</v>
      </c>
      <c r="J521" s="2">
        <v>0</v>
      </c>
      <c r="K521" s="3">
        <v>498050</v>
      </c>
      <c r="L521" s="3">
        <v>365050.97</v>
      </c>
      <c r="M521" s="3">
        <v>132999.03</v>
      </c>
    </row>
    <row r="522" spans="1:13" x14ac:dyDescent="0.3">
      <c r="A522" t="s">
        <v>981</v>
      </c>
      <c r="B522" s="4">
        <v>45698</v>
      </c>
      <c r="C522" t="s">
        <v>980</v>
      </c>
      <c r="D522" t="s">
        <v>17</v>
      </c>
      <c r="E522" t="s">
        <v>2</v>
      </c>
      <c r="F522" t="s">
        <v>23</v>
      </c>
      <c r="G522" t="s">
        <v>37</v>
      </c>
      <c r="H522">
        <v>7</v>
      </c>
      <c r="I522" s="3">
        <v>52545</v>
      </c>
      <c r="J522" s="2">
        <v>0.2</v>
      </c>
      <c r="K522" s="3">
        <v>294252</v>
      </c>
      <c r="L522" s="3">
        <v>189836.46</v>
      </c>
      <c r="M522" s="3">
        <v>104415.54</v>
      </c>
    </row>
    <row r="523" spans="1:13" x14ac:dyDescent="0.3">
      <c r="A523" t="s">
        <v>979</v>
      </c>
      <c r="B523" s="4">
        <v>45843</v>
      </c>
      <c r="C523" t="s">
        <v>978</v>
      </c>
      <c r="D523" t="s">
        <v>9</v>
      </c>
      <c r="E523" t="s">
        <v>8</v>
      </c>
      <c r="F523" t="s">
        <v>33</v>
      </c>
      <c r="G523" t="s">
        <v>12</v>
      </c>
      <c r="H523">
        <v>8</v>
      </c>
      <c r="I523" s="3">
        <v>61578</v>
      </c>
      <c r="J523" s="2">
        <v>0.15</v>
      </c>
      <c r="K523" s="3">
        <v>418730.4</v>
      </c>
      <c r="L523" s="3">
        <v>270170.07</v>
      </c>
      <c r="M523" s="3">
        <v>148560.32999999999</v>
      </c>
    </row>
    <row r="524" spans="1:13" x14ac:dyDescent="0.3">
      <c r="A524" t="s">
        <v>977</v>
      </c>
      <c r="B524" s="4">
        <v>45751</v>
      </c>
      <c r="C524" t="s">
        <v>976</v>
      </c>
      <c r="D524" t="s">
        <v>17</v>
      </c>
      <c r="E524" t="s">
        <v>2</v>
      </c>
      <c r="F524" t="s">
        <v>23</v>
      </c>
      <c r="G524" t="s">
        <v>6</v>
      </c>
      <c r="H524">
        <v>7</v>
      </c>
      <c r="I524" s="3">
        <v>65391</v>
      </c>
      <c r="J524" s="2">
        <v>0.05</v>
      </c>
      <c r="K524" s="3">
        <v>434850.15</v>
      </c>
      <c r="L524" s="3">
        <v>295318.65999999997</v>
      </c>
      <c r="M524" s="3">
        <v>139531.49</v>
      </c>
    </row>
    <row r="525" spans="1:13" x14ac:dyDescent="0.3">
      <c r="A525" t="s">
        <v>975</v>
      </c>
      <c r="B525" s="4">
        <v>45573</v>
      </c>
      <c r="C525" t="s">
        <v>974</v>
      </c>
      <c r="D525" t="s">
        <v>53</v>
      </c>
      <c r="E525" t="s">
        <v>2</v>
      </c>
      <c r="F525" t="s">
        <v>7</v>
      </c>
      <c r="G525" t="s">
        <v>20</v>
      </c>
      <c r="H525">
        <v>4</v>
      </c>
      <c r="I525" s="3">
        <v>53648</v>
      </c>
      <c r="J525" s="2">
        <v>0.2</v>
      </c>
      <c r="K525" s="3">
        <v>171673.60000000001</v>
      </c>
      <c r="L525" s="3">
        <v>88275.56</v>
      </c>
      <c r="M525" s="3">
        <v>83398.039999999994</v>
      </c>
    </row>
    <row r="526" spans="1:13" x14ac:dyDescent="0.3">
      <c r="A526" t="s">
        <v>973</v>
      </c>
      <c r="B526" s="4">
        <v>45900</v>
      </c>
      <c r="C526" t="s">
        <v>972</v>
      </c>
      <c r="D526" t="s">
        <v>56</v>
      </c>
      <c r="E526" t="s">
        <v>24</v>
      </c>
      <c r="F526" t="s">
        <v>23</v>
      </c>
      <c r="G526" t="s">
        <v>20</v>
      </c>
      <c r="H526">
        <v>13</v>
      </c>
      <c r="I526" s="3">
        <v>61279</v>
      </c>
      <c r="J526" s="2">
        <v>0</v>
      </c>
      <c r="K526" s="3">
        <v>796627</v>
      </c>
      <c r="L526" s="3">
        <v>423421.76</v>
      </c>
      <c r="M526" s="3">
        <v>373205.24</v>
      </c>
    </row>
    <row r="527" spans="1:13" x14ac:dyDescent="0.3">
      <c r="A527" t="s">
        <v>971</v>
      </c>
      <c r="B527" s="4">
        <v>45818</v>
      </c>
      <c r="C527" t="s">
        <v>970</v>
      </c>
      <c r="D527" t="s">
        <v>3</v>
      </c>
      <c r="E527" t="s">
        <v>2</v>
      </c>
      <c r="F527" t="s">
        <v>23</v>
      </c>
      <c r="G527" t="s">
        <v>6</v>
      </c>
      <c r="H527">
        <v>8</v>
      </c>
      <c r="I527" s="3">
        <v>12567</v>
      </c>
      <c r="J527" s="2">
        <v>0.05</v>
      </c>
      <c r="K527" s="3">
        <v>95509.2</v>
      </c>
      <c r="L527" s="3">
        <v>66621.95</v>
      </c>
      <c r="M527" s="3">
        <v>28887.25</v>
      </c>
    </row>
    <row r="528" spans="1:13" x14ac:dyDescent="0.3">
      <c r="A528" t="s">
        <v>969</v>
      </c>
      <c r="B528" s="4">
        <v>45954</v>
      </c>
      <c r="C528" t="s">
        <v>968</v>
      </c>
      <c r="D528" t="s">
        <v>53</v>
      </c>
      <c r="E528" t="s">
        <v>2</v>
      </c>
      <c r="F528" t="s">
        <v>33</v>
      </c>
      <c r="G528" t="s">
        <v>20</v>
      </c>
      <c r="H528">
        <v>6</v>
      </c>
      <c r="I528" s="3">
        <v>64280</v>
      </c>
      <c r="J528" s="2">
        <v>0</v>
      </c>
      <c r="K528" s="3">
        <v>385680</v>
      </c>
      <c r="L528" s="3">
        <v>267134.33</v>
      </c>
      <c r="M528" s="3">
        <v>118545.67</v>
      </c>
    </row>
    <row r="529" spans="1:13" x14ac:dyDescent="0.3">
      <c r="A529" t="s">
        <v>967</v>
      </c>
      <c r="B529" s="4">
        <v>45591</v>
      </c>
      <c r="C529" t="s">
        <v>966</v>
      </c>
      <c r="D529" t="s">
        <v>17</v>
      </c>
      <c r="E529" t="s">
        <v>2</v>
      </c>
      <c r="F529" t="s">
        <v>1</v>
      </c>
      <c r="G529" t="s">
        <v>20</v>
      </c>
      <c r="H529">
        <v>14</v>
      </c>
      <c r="I529" s="3">
        <v>7566</v>
      </c>
      <c r="J529" s="2">
        <v>0.05</v>
      </c>
      <c r="K529" s="3">
        <v>100627.8</v>
      </c>
      <c r="L529" s="3">
        <v>61601.42</v>
      </c>
      <c r="M529" s="3">
        <v>39026.379999999997</v>
      </c>
    </row>
    <row r="530" spans="1:13" x14ac:dyDescent="0.3">
      <c r="A530" t="s">
        <v>965</v>
      </c>
      <c r="B530" s="4">
        <v>46087</v>
      </c>
      <c r="C530" t="s">
        <v>964</v>
      </c>
      <c r="D530" t="s">
        <v>3</v>
      </c>
      <c r="E530" t="s">
        <v>2</v>
      </c>
      <c r="F530" t="s">
        <v>7</v>
      </c>
      <c r="G530" t="s">
        <v>16</v>
      </c>
      <c r="H530">
        <v>9</v>
      </c>
      <c r="I530" s="3">
        <v>37001</v>
      </c>
      <c r="J530" s="2">
        <v>0.2</v>
      </c>
      <c r="K530" s="3">
        <v>266407.2</v>
      </c>
      <c r="L530" s="3">
        <v>157665.14000000001</v>
      </c>
      <c r="M530" s="3">
        <v>108742.06</v>
      </c>
    </row>
    <row r="531" spans="1:13" x14ac:dyDescent="0.3">
      <c r="A531" t="s">
        <v>963</v>
      </c>
      <c r="B531" s="4">
        <v>45694</v>
      </c>
      <c r="C531" t="s">
        <v>962</v>
      </c>
      <c r="D531" t="s">
        <v>34</v>
      </c>
      <c r="E531" t="s">
        <v>24</v>
      </c>
      <c r="F531" t="s">
        <v>33</v>
      </c>
      <c r="G531" t="s">
        <v>6</v>
      </c>
      <c r="H531">
        <v>14</v>
      </c>
      <c r="I531" s="3">
        <v>40161</v>
      </c>
      <c r="J531" s="2">
        <v>0.2</v>
      </c>
      <c r="K531" s="3">
        <v>449803.2</v>
      </c>
      <c r="L531" s="3">
        <v>287052.65999999997</v>
      </c>
      <c r="M531" s="3">
        <v>162750.54</v>
      </c>
    </row>
    <row r="532" spans="1:13" x14ac:dyDescent="0.3">
      <c r="A532" t="s">
        <v>961</v>
      </c>
      <c r="B532" s="4">
        <v>45504</v>
      </c>
      <c r="C532" t="s">
        <v>960</v>
      </c>
      <c r="D532" t="s">
        <v>17</v>
      </c>
      <c r="E532" t="s">
        <v>2</v>
      </c>
      <c r="F532" t="s">
        <v>13</v>
      </c>
      <c r="G532" t="s">
        <v>0</v>
      </c>
      <c r="H532">
        <v>5</v>
      </c>
      <c r="I532" s="3">
        <v>33574</v>
      </c>
      <c r="J532" s="2">
        <v>0.15</v>
      </c>
      <c r="K532" s="3">
        <v>142689.5</v>
      </c>
      <c r="L532" s="3">
        <v>111396.3</v>
      </c>
      <c r="M532" s="3">
        <v>31293.200000000001</v>
      </c>
    </row>
    <row r="533" spans="1:13" x14ac:dyDescent="0.3">
      <c r="A533" t="s">
        <v>959</v>
      </c>
      <c r="B533" s="4">
        <v>46111</v>
      </c>
      <c r="C533" t="s">
        <v>958</v>
      </c>
      <c r="D533" t="s">
        <v>25</v>
      </c>
      <c r="E533" t="s">
        <v>24</v>
      </c>
      <c r="F533" t="s">
        <v>7</v>
      </c>
      <c r="G533" t="s">
        <v>16</v>
      </c>
      <c r="H533">
        <v>3</v>
      </c>
      <c r="I533" s="3">
        <v>7829</v>
      </c>
      <c r="J533" s="2">
        <v>0.05</v>
      </c>
      <c r="K533" s="3">
        <v>22312.65</v>
      </c>
      <c r="L533" s="3">
        <v>15348.81</v>
      </c>
      <c r="M533" s="3">
        <v>6963.84</v>
      </c>
    </row>
    <row r="534" spans="1:13" x14ac:dyDescent="0.3">
      <c r="A534" t="s">
        <v>957</v>
      </c>
      <c r="B534" s="4">
        <v>45719</v>
      </c>
      <c r="C534" t="s">
        <v>956</v>
      </c>
      <c r="D534" t="s">
        <v>28</v>
      </c>
      <c r="E534" t="s">
        <v>8</v>
      </c>
      <c r="F534" t="s">
        <v>7</v>
      </c>
      <c r="G534" t="s">
        <v>12</v>
      </c>
      <c r="H534">
        <v>12</v>
      </c>
      <c r="I534" s="3">
        <v>19518</v>
      </c>
      <c r="J534" s="2">
        <v>0.1</v>
      </c>
      <c r="K534" s="3">
        <v>210794.4</v>
      </c>
      <c r="L534" s="3">
        <v>174044.73</v>
      </c>
      <c r="M534" s="3">
        <v>36749.67</v>
      </c>
    </row>
    <row r="535" spans="1:13" x14ac:dyDescent="0.3">
      <c r="A535" t="s">
        <v>955</v>
      </c>
      <c r="B535" s="4">
        <v>46100</v>
      </c>
      <c r="C535" t="s">
        <v>954</v>
      </c>
      <c r="D535" t="s">
        <v>34</v>
      </c>
      <c r="E535" t="s">
        <v>24</v>
      </c>
      <c r="F535" t="s">
        <v>23</v>
      </c>
      <c r="G535" t="s">
        <v>16</v>
      </c>
      <c r="H535">
        <v>9</v>
      </c>
      <c r="I535" s="3">
        <v>7705</v>
      </c>
      <c r="J535" s="2">
        <v>0.1</v>
      </c>
      <c r="K535" s="3">
        <v>62410.5</v>
      </c>
      <c r="L535" s="3">
        <v>31391.14</v>
      </c>
      <c r="M535" s="3">
        <v>31019.360000000001</v>
      </c>
    </row>
    <row r="536" spans="1:13" x14ac:dyDescent="0.3">
      <c r="A536" t="s">
        <v>953</v>
      </c>
      <c r="B536" s="4">
        <v>45834</v>
      </c>
      <c r="C536" t="s">
        <v>952</v>
      </c>
      <c r="D536" t="s">
        <v>28</v>
      </c>
      <c r="E536" t="s">
        <v>8</v>
      </c>
      <c r="F536" t="s">
        <v>7</v>
      </c>
      <c r="G536" t="s">
        <v>12</v>
      </c>
      <c r="H536">
        <v>1</v>
      </c>
      <c r="I536" s="3">
        <v>36855</v>
      </c>
      <c r="J536" s="2">
        <v>0.05</v>
      </c>
      <c r="K536" s="3">
        <v>35012.25</v>
      </c>
      <c r="L536" s="3">
        <v>27261.62</v>
      </c>
      <c r="M536" s="3">
        <v>7750.63</v>
      </c>
    </row>
    <row r="537" spans="1:13" x14ac:dyDescent="0.3">
      <c r="A537" t="s">
        <v>951</v>
      </c>
      <c r="B537" s="4">
        <v>46078</v>
      </c>
      <c r="C537" t="s">
        <v>950</v>
      </c>
      <c r="D537" t="s">
        <v>42</v>
      </c>
      <c r="E537" t="s">
        <v>8</v>
      </c>
      <c r="F537" t="s">
        <v>33</v>
      </c>
      <c r="G537" t="s">
        <v>12</v>
      </c>
      <c r="H537">
        <v>13</v>
      </c>
      <c r="I537" s="3">
        <v>60587</v>
      </c>
      <c r="J537" s="2">
        <v>0.15</v>
      </c>
      <c r="K537" s="3">
        <v>669486.35</v>
      </c>
      <c r="L537" s="3">
        <v>553799.54</v>
      </c>
      <c r="M537" s="3">
        <v>115686.81</v>
      </c>
    </row>
    <row r="538" spans="1:13" x14ac:dyDescent="0.3">
      <c r="A538" t="s">
        <v>949</v>
      </c>
      <c r="B538" s="4">
        <v>45730</v>
      </c>
      <c r="C538" t="s">
        <v>948</v>
      </c>
      <c r="D538" t="s">
        <v>3</v>
      </c>
      <c r="E538" t="s">
        <v>2</v>
      </c>
      <c r="F538" t="s">
        <v>23</v>
      </c>
      <c r="G538" t="s">
        <v>20</v>
      </c>
      <c r="H538">
        <v>3</v>
      </c>
      <c r="I538" s="3">
        <v>57848</v>
      </c>
      <c r="J538" s="2">
        <v>0</v>
      </c>
      <c r="K538" s="3">
        <v>173544</v>
      </c>
      <c r="L538" s="3">
        <v>89746.04</v>
      </c>
      <c r="M538" s="3">
        <v>83797.960000000006</v>
      </c>
    </row>
    <row r="539" spans="1:13" x14ac:dyDescent="0.3">
      <c r="A539" t="s">
        <v>947</v>
      </c>
      <c r="B539" s="4">
        <v>45517</v>
      </c>
      <c r="C539" t="s">
        <v>946</v>
      </c>
      <c r="D539" t="s">
        <v>25</v>
      </c>
      <c r="E539" t="s">
        <v>24</v>
      </c>
      <c r="F539" t="s">
        <v>7</v>
      </c>
      <c r="G539" t="s">
        <v>12</v>
      </c>
      <c r="H539">
        <v>1</v>
      </c>
      <c r="I539" s="3">
        <v>74539</v>
      </c>
      <c r="J539" s="2">
        <v>0.05</v>
      </c>
      <c r="K539" s="3">
        <v>70812.05</v>
      </c>
      <c r="L539" s="3">
        <v>47753.94</v>
      </c>
      <c r="M539" s="3">
        <v>23058.11</v>
      </c>
    </row>
    <row r="540" spans="1:13" x14ac:dyDescent="0.3">
      <c r="A540" t="s">
        <v>945</v>
      </c>
      <c r="B540" s="4">
        <v>45846</v>
      </c>
      <c r="C540" t="s">
        <v>944</v>
      </c>
      <c r="D540" t="s">
        <v>42</v>
      </c>
      <c r="E540" t="s">
        <v>8</v>
      </c>
      <c r="F540" t="s">
        <v>23</v>
      </c>
      <c r="G540" t="s">
        <v>12</v>
      </c>
      <c r="H540">
        <v>3</v>
      </c>
      <c r="I540" s="3">
        <v>28119</v>
      </c>
      <c r="J540" s="2">
        <v>0.2</v>
      </c>
      <c r="K540" s="3">
        <v>67485.600000000006</v>
      </c>
      <c r="L540" s="3">
        <v>36125.160000000003</v>
      </c>
      <c r="M540" s="3">
        <v>31360.44</v>
      </c>
    </row>
    <row r="541" spans="1:13" x14ac:dyDescent="0.3">
      <c r="A541" t="s">
        <v>943</v>
      </c>
      <c r="B541" s="4">
        <v>45502</v>
      </c>
      <c r="C541" t="s">
        <v>942</v>
      </c>
      <c r="D541" t="s">
        <v>3</v>
      </c>
      <c r="E541" t="s">
        <v>2</v>
      </c>
      <c r="F541" t="s">
        <v>33</v>
      </c>
      <c r="G541" t="s">
        <v>6</v>
      </c>
      <c r="H541">
        <v>7</v>
      </c>
      <c r="I541" s="3">
        <v>30329</v>
      </c>
      <c r="J541" s="2">
        <v>0.1</v>
      </c>
      <c r="K541" s="3">
        <v>191072.7</v>
      </c>
      <c r="L541" s="3">
        <v>142764.45000000001</v>
      </c>
      <c r="M541" s="3">
        <v>48308.25</v>
      </c>
    </row>
    <row r="542" spans="1:13" x14ac:dyDescent="0.3">
      <c r="A542" t="s">
        <v>941</v>
      </c>
      <c r="B542" s="4">
        <v>45628</v>
      </c>
      <c r="C542" t="s">
        <v>940</v>
      </c>
      <c r="D542" t="s">
        <v>25</v>
      </c>
      <c r="E542" t="s">
        <v>24</v>
      </c>
      <c r="F542" t="s">
        <v>33</v>
      </c>
      <c r="G542" t="s">
        <v>0</v>
      </c>
      <c r="H542">
        <v>14</v>
      </c>
      <c r="I542" s="3">
        <v>8427</v>
      </c>
      <c r="J542" s="2">
        <v>0.05</v>
      </c>
      <c r="K542" s="3">
        <v>112079.1</v>
      </c>
      <c r="L542" s="3">
        <v>57677.56</v>
      </c>
      <c r="M542" s="3">
        <v>54401.54</v>
      </c>
    </row>
    <row r="543" spans="1:13" x14ac:dyDescent="0.3">
      <c r="A543" t="s">
        <v>939</v>
      </c>
      <c r="B543" s="4">
        <v>46153</v>
      </c>
      <c r="C543" t="s">
        <v>938</v>
      </c>
      <c r="D543" t="s">
        <v>53</v>
      </c>
      <c r="E543" t="s">
        <v>2</v>
      </c>
      <c r="F543" t="s">
        <v>7</v>
      </c>
      <c r="G543" t="s">
        <v>0</v>
      </c>
      <c r="H543">
        <v>13</v>
      </c>
      <c r="I543" s="3">
        <v>42776</v>
      </c>
      <c r="J543" s="2">
        <v>0.2</v>
      </c>
      <c r="K543" s="3">
        <v>444870.40000000002</v>
      </c>
      <c r="L543" s="3">
        <v>334442.52</v>
      </c>
      <c r="M543" s="3">
        <v>110427.88</v>
      </c>
    </row>
    <row r="544" spans="1:13" x14ac:dyDescent="0.3">
      <c r="A544" t="s">
        <v>937</v>
      </c>
      <c r="B544" s="4">
        <v>45899</v>
      </c>
      <c r="C544" t="s">
        <v>936</v>
      </c>
      <c r="D544" t="s">
        <v>34</v>
      </c>
      <c r="E544" t="s">
        <v>24</v>
      </c>
      <c r="F544" t="s">
        <v>1</v>
      </c>
      <c r="G544" t="s">
        <v>16</v>
      </c>
      <c r="H544">
        <v>14</v>
      </c>
      <c r="I544" s="3">
        <v>29125</v>
      </c>
      <c r="J544" s="2">
        <v>0.05</v>
      </c>
      <c r="K544" s="3">
        <v>387362.5</v>
      </c>
      <c r="L544" s="3">
        <v>321876.86</v>
      </c>
      <c r="M544" s="3">
        <v>65485.64</v>
      </c>
    </row>
    <row r="545" spans="1:13" x14ac:dyDescent="0.3">
      <c r="A545" t="s">
        <v>935</v>
      </c>
      <c r="B545" s="4">
        <v>45779</v>
      </c>
      <c r="C545" t="s">
        <v>934</v>
      </c>
      <c r="D545" t="s">
        <v>17</v>
      </c>
      <c r="E545" t="s">
        <v>2</v>
      </c>
      <c r="F545" t="s">
        <v>13</v>
      </c>
      <c r="G545" t="s">
        <v>6</v>
      </c>
      <c r="H545">
        <v>7</v>
      </c>
      <c r="I545" s="3">
        <v>21445</v>
      </c>
      <c r="J545" s="2">
        <v>0.1</v>
      </c>
      <c r="K545" s="3">
        <v>135103.5</v>
      </c>
      <c r="L545" s="3">
        <v>78113.84</v>
      </c>
      <c r="M545" s="3">
        <v>56989.66</v>
      </c>
    </row>
    <row r="546" spans="1:13" x14ac:dyDescent="0.3">
      <c r="A546" t="s">
        <v>933</v>
      </c>
      <c r="B546" s="4">
        <v>45469</v>
      </c>
      <c r="C546" t="s">
        <v>932</v>
      </c>
      <c r="D546" t="s">
        <v>3</v>
      </c>
      <c r="E546" t="s">
        <v>2</v>
      </c>
      <c r="F546" t="s">
        <v>33</v>
      </c>
      <c r="G546" t="s">
        <v>37</v>
      </c>
      <c r="H546">
        <v>8</v>
      </c>
      <c r="I546" s="3">
        <v>20519</v>
      </c>
      <c r="J546" s="2">
        <v>0.05</v>
      </c>
      <c r="K546" s="3">
        <v>155944.4</v>
      </c>
      <c r="L546" s="3">
        <v>101434.11</v>
      </c>
      <c r="M546" s="3">
        <v>54510.29</v>
      </c>
    </row>
    <row r="547" spans="1:13" x14ac:dyDescent="0.3">
      <c r="A547" t="s">
        <v>931</v>
      </c>
      <c r="B547" s="4">
        <v>46025</v>
      </c>
      <c r="C547" t="s">
        <v>930</v>
      </c>
      <c r="D547" t="s">
        <v>17</v>
      </c>
      <c r="E547" t="s">
        <v>2</v>
      </c>
      <c r="F547" t="s">
        <v>7</v>
      </c>
      <c r="G547" t="s">
        <v>16</v>
      </c>
      <c r="H547">
        <v>2</v>
      </c>
      <c r="I547" s="3">
        <v>28587</v>
      </c>
      <c r="J547" s="2">
        <v>0.2</v>
      </c>
      <c r="K547" s="3">
        <v>45739.199999999997</v>
      </c>
      <c r="L547" s="3">
        <v>31295.56</v>
      </c>
      <c r="M547" s="3">
        <v>14443.64</v>
      </c>
    </row>
    <row r="548" spans="1:13" x14ac:dyDescent="0.3">
      <c r="A548" t="s">
        <v>929</v>
      </c>
      <c r="B548" s="4">
        <v>45540</v>
      </c>
      <c r="C548" t="s">
        <v>928</v>
      </c>
      <c r="D548" t="s">
        <v>25</v>
      </c>
      <c r="E548" t="s">
        <v>24</v>
      </c>
      <c r="F548" t="s">
        <v>7</v>
      </c>
      <c r="G548" t="s">
        <v>0</v>
      </c>
      <c r="H548">
        <v>13</v>
      </c>
      <c r="I548" s="3">
        <v>66083</v>
      </c>
      <c r="J548" s="2">
        <v>0</v>
      </c>
      <c r="K548" s="3">
        <v>859079</v>
      </c>
      <c r="L548" s="3">
        <v>489828.3</v>
      </c>
      <c r="M548" s="3">
        <v>369250.7</v>
      </c>
    </row>
    <row r="549" spans="1:13" x14ac:dyDescent="0.3">
      <c r="A549" t="s">
        <v>927</v>
      </c>
      <c r="B549" s="4">
        <v>45953</v>
      </c>
      <c r="C549" t="s">
        <v>926</v>
      </c>
      <c r="D549" t="s">
        <v>9</v>
      </c>
      <c r="E549" t="s">
        <v>8</v>
      </c>
      <c r="F549" t="s">
        <v>7</v>
      </c>
      <c r="G549" t="s">
        <v>12</v>
      </c>
      <c r="H549">
        <v>9</v>
      </c>
      <c r="I549" s="3">
        <v>12591</v>
      </c>
      <c r="J549" s="2">
        <v>0.05</v>
      </c>
      <c r="K549" s="3">
        <v>107653.05</v>
      </c>
      <c r="L549" s="3">
        <v>59090.52</v>
      </c>
      <c r="M549" s="3">
        <v>48562.53</v>
      </c>
    </row>
    <row r="550" spans="1:13" x14ac:dyDescent="0.3">
      <c r="A550" t="s">
        <v>925</v>
      </c>
      <c r="B550" s="4">
        <v>46075</v>
      </c>
      <c r="C550" t="s">
        <v>924</v>
      </c>
      <c r="D550" t="s">
        <v>28</v>
      </c>
      <c r="E550" t="s">
        <v>8</v>
      </c>
      <c r="F550" t="s">
        <v>1</v>
      </c>
      <c r="G550" t="s">
        <v>6</v>
      </c>
      <c r="H550">
        <v>1</v>
      </c>
      <c r="I550" s="3">
        <v>14194</v>
      </c>
      <c r="J550" s="2">
        <v>0</v>
      </c>
      <c r="K550" s="3">
        <v>14194</v>
      </c>
      <c r="L550" s="3">
        <v>8807.44</v>
      </c>
      <c r="M550" s="3">
        <v>5386.56</v>
      </c>
    </row>
    <row r="551" spans="1:13" x14ac:dyDescent="0.3">
      <c r="A551" t="s">
        <v>923</v>
      </c>
      <c r="B551" s="4">
        <v>45897</v>
      </c>
      <c r="C551" t="s">
        <v>922</v>
      </c>
      <c r="D551" t="s">
        <v>25</v>
      </c>
      <c r="E551" t="s">
        <v>24</v>
      </c>
      <c r="F551" t="s">
        <v>1</v>
      </c>
      <c r="G551" t="s">
        <v>0</v>
      </c>
      <c r="H551">
        <v>3</v>
      </c>
      <c r="I551" s="3">
        <v>44664</v>
      </c>
      <c r="J551" s="2">
        <v>0.1</v>
      </c>
      <c r="K551" s="3">
        <v>120592.8</v>
      </c>
      <c r="L551" s="3">
        <v>79273.88</v>
      </c>
      <c r="M551" s="3">
        <v>41318.92</v>
      </c>
    </row>
    <row r="552" spans="1:13" x14ac:dyDescent="0.3">
      <c r="A552" t="s">
        <v>921</v>
      </c>
      <c r="B552" s="4">
        <v>45474</v>
      </c>
      <c r="C552" t="s">
        <v>920</v>
      </c>
      <c r="D552" t="s">
        <v>28</v>
      </c>
      <c r="E552" t="s">
        <v>8</v>
      </c>
      <c r="F552" t="s">
        <v>13</v>
      </c>
      <c r="G552" t="s">
        <v>16</v>
      </c>
      <c r="H552">
        <v>3</v>
      </c>
      <c r="I552" s="3">
        <v>15371</v>
      </c>
      <c r="J552" s="2">
        <v>0.1</v>
      </c>
      <c r="K552" s="3">
        <v>41501.699999999997</v>
      </c>
      <c r="L552" s="3">
        <v>32502.2</v>
      </c>
      <c r="M552" s="3">
        <v>8999.5</v>
      </c>
    </row>
    <row r="553" spans="1:13" x14ac:dyDescent="0.3">
      <c r="A553" t="s">
        <v>919</v>
      </c>
      <c r="B553" s="4">
        <v>45694</v>
      </c>
      <c r="C553" t="s">
        <v>918</v>
      </c>
      <c r="D553" t="s">
        <v>53</v>
      </c>
      <c r="E553" t="s">
        <v>2</v>
      </c>
      <c r="F553" t="s">
        <v>33</v>
      </c>
      <c r="G553" t="s">
        <v>37</v>
      </c>
      <c r="H553">
        <v>9</v>
      </c>
      <c r="I553" s="3">
        <v>15804</v>
      </c>
      <c r="J553" s="2">
        <v>0.05</v>
      </c>
      <c r="K553" s="3">
        <v>135124.20000000001</v>
      </c>
      <c r="L553" s="3">
        <v>95729.89</v>
      </c>
      <c r="M553" s="3">
        <v>39394.31</v>
      </c>
    </row>
    <row r="554" spans="1:13" x14ac:dyDescent="0.3">
      <c r="A554" t="s">
        <v>917</v>
      </c>
      <c r="B554" s="4">
        <v>46142</v>
      </c>
      <c r="C554" t="s">
        <v>916</v>
      </c>
      <c r="D554" t="s">
        <v>3</v>
      </c>
      <c r="E554" t="s">
        <v>2</v>
      </c>
      <c r="F554" t="s">
        <v>1</v>
      </c>
      <c r="G554" t="s">
        <v>16</v>
      </c>
      <c r="H554">
        <v>9</v>
      </c>
      <c r="I554" s="3">
        <v>13743</v>
      </c>
      <c r="J554" s="2">
        <v>0.15</v>
      </c>
      <c r="K554" s="3">
        <v>105133.95</v>
      </c>
      <c r="L554" s="3">
        <v>76367.600000000006</v>
      </c>
      <c r="M554" s="3">
        <v>28766.35</v>
      </c>
    </row>
    <row r="555" spans="1:13" x14ac:dyDescent="0.3">
      <c r="A555" t="s">
        <v>915</v>
      </c>
      <c r="B555" s="4">
        <v>45686</v>
      </c>
      <c r="C555" t="s">
        <v>914</v>
      </c>
      <c r="D555" t="s">
        <v>28</v>
      </c>
      <c r="E555" t="s">
        <v>8</v>
      </c>
      <c r="F555" t="s">
        <v>23</v>
      </c>
      <c r="G555" t="s">
        <v>0</v>
      </c>
      <c r="H555">
        <v>2</v>
      </c>
      <c r="I555" s="3">
        <v>50114</v>
      </c>
      <c r="J555" s="2">
        <v>0.05</v>
      </c>
      <c r="K555" s="3">
        <v>95216.6</v>
      </c>
      <c r="L555" s="3">
        <v>59586.83</v>
      </c>
      <c r="M555" s="3">
        <v>35629.769999999997</v>
      </c>
    </row>
    <row r="556" spans="1:13" x14ac:dyDescent="0.3">
      <c r="A556" t="s">
        <v>913</v>
      </c>
      <c r="B556" s="4">
        <v>45627</v>
      </c>
      <c r="C556" t="s">
        <v>912</v>
      </c>
      <c r="D556" t="s">
        <v>53</v>
      </c>
      <c r="E556" t="s">
        <v>2</v>
      </c>
      <c r="F556" t="s">
        <v>23</v>
      </c>
      <c r="G556" t="s">
        <v>37</v>
      </c>
      <c r="H556">
        <v>14</v>
      </c>
      <c r="I556" s="3">
        <v>63946</v>
      </c>
      <c r="J556" s="2">
        <v>0.1</v>
      </c>
      <c r="K556" s="3">
        <v>805719.6</v>
      </c>
      <c r="L556" s="3">
        <v>444888.55</v>
      </c>
      <c r="M556" s="3">
        <v>360831.05</v>
      </c>
    </row>
    <row r="557" spans="1:13" x14ac:dyDescent="0.3">
      <c r="A557" t="s">
        <v>911</v>
      </c>
      <c r="B557" s="4">
        <v>45518</v>
      </c>
      <c r="C557" t="s">
        <v>910</v>
      </c>
      <c r="D557" t="s">
        <v>3</v>
      </c>
      <c r="E557" t="s">
        <v>2</v>
      </c>
      <c r="F557" t="s">
        <v>23</v>
      </c>
      <c r="G557" t="s">
        <v>0</v>
      </c>
      <c r="H557">
        <v>3</v>
      </c>
      <c r="I557" s="3">
        <v>66028</v>
      </c>
      <c r="J557" s="2">
        <v>0.1</v>
      </c>
      <c r="K557" s="3">
        <v>178275.6</v>
      </c>
      <c r="L557" s="3">
        <v>122581.46</v>
      </c>
      <c r="M557" s="3">
        <v>55694.14</v>
      </c>
    </row>
    <row r="558" spans="1:13" x14ac:dyDescent="0.3">
      <c r="A558" t="s">
        <v>909</v>
      </c>
      <c r="B558" s="4">
        <v>45826</v>
      </c>
      <c r="C558" t="s">
        <v>908</v>
      </c>
      <c r="D558" t="s">
        <v>25</v>
      </c>
      <c r="E558" t="s">
        <v>24</v>
      </c>
      <c r="F558" t="s">
        <v>7</v>
      </c>
      <c r="G558" t="s">
        <v>12</v>
      </c>
      <c r="H558">
        <v>3</v>
      </c>
      <c r="I558" s="3">
        <v>71184</v>
      </c>
      <c r="J558" s="2">
        <v>0</v>
      </c>
      <c r="K558" s="3">
        <v>213552</v>
      </c>
      <c r="L558" s="3">
        <v>144654.59</v>
      </c>
      <c r="M558" s="3">
        <v>68897.41</v>
      </c>
    </row>
    <row r="559" spans="1:13" x14ac:dyDescent="0.3">
      <c r="A559" t="s">
        <v>907</v>
      </c>
      <c r="B559" s="4">
        <v>45742</v>
      </c>
      <c r="C559" t="s">
        <v>906</v>
      </c>
      <c r="D559" t="s">
        <v>56</v>
      </c>
      <c r="E559" t="s">
        <v>24</v>
      </c>
      <c r="F559" t="s">
        <v>13</v>
      </c>
      <c r="G559" t="s">
        <v>20</v>
      </c>
      <c r="H559">
        <v>9</v>
      </c>
      <c r="I559" s="3">
        <v>27667</v>
      </c>
      <c r="J559" s="2">
        <v>0.05</v>
      </c>
      <c r="K559" s="3">
        <v>236552.85</v>
      </c>
      <c r="L559" s="3">
        <v>193486.21</v>
      </c>
      <c r="M559" s="3">
        <v>43066.64</v>
      </c>
    </row>
    <row r="560" spans="1:13" x14ac:dyDescent="0.3">
      <c r="A560" t="s">
        <v>905</v>
      </c>
      <c r="B560" s="4">
        <v>46062</v>
      </c>
      <c r="C560" t="s">
        <v>904</v>
      </c>
      <c r="D560" t="s">
        <v>3</v>
      </c>
      <c r="E560" t="s">
        <v>2</v>
      </c>
      <c r="F560" t="s">
        <v>13</v>
      </c>
      <c r="G560" t="s">
        <v>12</v>
      </c>
      <c r="H560">
        <v>1</v>
      </c>
      <c r="I560" s="3">
        <v>14861</v>
      </c>
      <c r="J560" s="2">
        <v>0</v>
      </c>
      <c r="K560" s="3">
        <v>14861</v>
      </c>
      <c r="L560" s="3">
        <v>9970.84</v>
      </c>
      <c r="M560" s="3">
        <v>4890.16</v>
      </c>
    </row>
    <row r="561" spans="1:13" x14ac:dyDescent="0.3">
      <c r="A561" t="s">
        <v>903</v>
      </c>
      <c r="B561" s="4">
        <v>46106</v>
      </c>
      <c r="C561" t="s">
        <v>902</v>
      </c>
      <c r="D561" t="s">
        <v>9</v>
      </c>
      <c r="E561" t="s">
        <v>8</v>
      </c>
      <c r="F561" t="s">
        <v>7</v>
      </c>
      <c r="G561" t="s">
        <v>37</v>
      </c>
      <c r="H561">
        <v>4</v>
      </c>
      <c r="I561" s="3">
        <v>12408</v>
      </c>
      <c r="J561" s="2">
        <v>0.05</v>
      </c>
      <c r="K561" s="3">
        <v>47150.400000000001</v>
      </c>
      <c r="L561" s="3">
        <v>26110.95</v>
      </c>
      <c r="M561" s="3">
        <v>21039.45</v>
      </c>
    </row>
    <row r="562" spans="1:13" x14ac:dyDescent="0.3">
      <c r="A562" t="s">
        <v>901</v>
      </c>
      <c r="B562" s="4">
        <v>45646</v>
      </c>
      <c r="C562" t="s">
        <v>900</v>
      </c>
      <c r="D562" t="s">
        <v>56</v>
      </c>
      <c r="E562" t="s">
        <v>24</v>
      </c>
      <c r="F562" t="s">
        <v>23</v>
      </c>
      <c r="G562" t="s">
        <v>37</v>
      </c>
      <c r="H562">
        <v>10</v>
      </c>
      <c r="I562" s="3">
        <v>68910</v>
      </c>
      <c r="J562" s="2">
        <v>0</v>
      </c>
      <c r="K562" s="3">
        <v>689100</v>
      </c>
      <c r="L562" s="3">
        <v>414965.84</v>
      </c>
      <c r="M562" s="3">
        <v>274134.15999999997</v>
      </c>
    </row>
    <row r="563" spans="1:13" x14ac:dyDescent="0.3">
      <c r="A563" t="s">
        <v>899</v>
      </c>
      <c r="B563" s="4">
        <v>45512</v>
      </c>
      <c r="C563" t="s">
        <v>898</v>
      </c>
      <c r="D563" t="s">
        <v>9</v>
      </c>
      <c r="E563" t="s">
        <v>8</v>
      </c>
      <c r="F563" t="s">
        <v>13</v>
      </c>
      <c r="G563" t="s">
        <v>6</v>
      </c>
      <c r="H563">
        <v>4</v>
      </c>
      <c r="I563" s="3">
        <v>31660</v>
      </c>
      <c r="J563" s="2">
        <v>0.05</v>
      </c>
      <c r="K563" s="3">
        <v>120308</v>
      </c>
      <c r="L563" s="3">
        <v>85220.52</v>
      </c>
      <c r="M563" s="3">
        <v>35087.480000000003</v>
      </c>
    </row>
    <row r="564" spans="1:13" x14ac:dyDescent="0.3">
      <c r="A564" t="s">
        <v>897</v>
      </c>
      <c r="B564" s="4">
        <v>45464</v>
      </c>
      <c r="C564" t="s">
        <v>896</v>
      </c>
      <c r="D564" t="s">
        <v>3</v>
      </c>
      <c r="E564" t="s">
        <v>2</v>
      </c>
      <c r="F564" t="s">
        <v>13</v>
      </c>
      <c r="G564" t="s">
        <v>6</v>
      </c>
      <c r="H564">
        <v>2</v>
      </c>
      <c r="I564" s="3">
        <v>45209</v>
      </c>
      <c r="J564" s="2">
        <v>0</v>
      </c>
      <c r="K564" s="3">
        <v>90418</v>
      </c>
      <c r="L564" s="3">
        <v>46513.54</v>
      </c>
      <c r="M564" s="3">
        <v>43904.46</v>
      </c>
    </row>
    <row r="565" spans="1:13" x14ac:dyDescent="0.3">
      <c r="A565" t="s">
        <v>895</v>
      </c>
      <c r="B565" s="4">
        <v>45527</v>
      </c>
      <c r="C565" t="s">
        <v>894</v>
      </c>
      <c r="D565" t="s">
        <v>17</v>
      </c>
      <c r="E565" t="s">
        <v>2</v>
      </c>
      <c r="F565" t="s">
        <v>1</v>
      </c>
      <c r="G565" t="s">
        <v>37</v>
      </c>
      <c r="H565">
        <v>6</v>
      </c>
      <c r="I565" s="3">
        <v>12010</v>
      </c>
      <c r="J565" s="2">
        <v>0.15</v>
      </c>
      <c r="K565" s="3">
        <v>61251</v>
      </c>
      <c r="L565" s="3">
        <v>43313.77</v>
      </c>
      <c r="M565" s="3">
        <v>17937.23</v>
      </c>
    </row>
    <row r="566" spans="1:13" x14ac:dyDescent="0.3">
      <c r="A566" t="s">
        <v>893</v>
      </c>
      <c r="B566" s="4">
        <v>46134</v>
      </c>
      <c r="C566" t="s">
        <v>892</v>
      </c>
      <c r="D566" t="s">
        <v>56</v>
      </c>
      <c r="E566" t="s">
        <v>24</v>
      </c>
      <c r="F566" t="s">
        <v>1</v>
      </c>
      <c r="G566" t="s">
        <v>12</v>
      </c>
      <c r="H566">
        <v>13</v>
      </c>
      <c r="I566" s="3">
        <v>54360</v>
      </c>
      <c r="J566" s="2">
        <v>0</v>
      </c>
      <c r="K566" s="3">
        <v>706680</v>
      </c>
      <c r="L566" s="3">
        <v>375117.7</v>
      </c>
      <c r="M566" s="3">
        <v>331562.3</v>
      </c>
    </row>
    <row r="567" spans="1:13" x14ac:dyDescent="0.3">
      <c r="A567" t="s">
        <v>891</v>
      </c>
      <c r="B567" s="4">
        <v>45549</v>
      </c>
      <c r="C567" t="s">
        <v>890</v>
      </c>
      <c r="D567" t="s">
        <v>9</v>
      </c>
      <c r="E567" t="s">
        <v>8</v>
      </c>
      <c r="F567" t="s">
        <v>1</v>
      </c>
      <c r="G567" t="s">
        <v>12</v>
      </c>
      <c r="H567">
        <v>11</v>
      </c>
      <c r="I567" s="3">
        <v>22906</v>
      </c>
      <c r="J567" s="2">
        <v>0.05</v>
      </c>
      <c r="K567" s="3">
        <v>239367.7</v>
      </c>
      <c r="L567" s="3">
        <v>186510.69</v>
      </c>
      <c r="M567" s="3">
        <v>52857.01</v>
      </c>
    </row>
    <row r="568" spans="1:13" x14ac:dyDescent="0.3">
      <c r="A568" t="s">
        <v>889</v>
      </c>
      <c r="B568" s="4">
        <v>46145</v>
      </c>
      <c r="C568" t="s">
        <v>888</v>
      </c>
      <c r="D568" t="s">
        <v>3</v>
      </c>
      <c r="E568" t="s">
        <v>2</v>
      </c>
      <c r="F568" t="s">
        <v>33</v>
      </c>
      <c r="G568" t="s">
        <v>37</v>
      </c>
      <c r="H568">
        <v>11</v>
      </c>
      <c r="I568" s="3">
        <v>44392</v>
      </c>
      <c r="J568" s="2">
        <v>0</v>
      </c>
      <c r="K568" s="3">
        <v>488312</v>
      </c>
      <c r="L568" s="3">
        <v>414602.69</v>
      </c>
      <c r="M568" s="3">
        <v>73709.31</v>
      </c>
    </row>
    <row r="569" spans="1:13" x14ac:dyDescent="0.3">
      <c r="A569" t="s">
        <v>887</v>
      </c>
      <c r="B569" s="4">
        <v>45502</v>
      </c>
      <c r="C569" t="s">
        <v>886</v>
      </c>
      <c r="D569" t="s">
        <v>34</v>
      </c>
      <c r="E569" t="s">
        <v>24</v>
      </c>
      <c r="F569" t="s">
        <v>23</v>
      </c>
      <c r="G569" t="s">
        <v>12</v>
      </c>
      <c r="H569">
        <v>13</v>
      </c>
      <c r="I569" s="3">
        <v>44253</v>
      </c>
      <c r="J569" s="2">
        <v>0</v>
      </c>
      <c r="K569" s="3">
        <v>575289</v>
      </c>
      <c r="L569" s="3">
        <v>438952.07</v>
      </c>
      <c r="M569" s="3">
        <v>136336.93</v>
      </c>
    </row>
    <row r="570" spans="1:13" x14ac:dyDescent="0.3">
      <c r="A570" t="s">
        <v>885</v>
      </c>
      <c r="B570" s="4">
        <v>45973</v>
      </c>
      <c r="C570" t="s">
        <v>884</v>
      </c>
      <c r="D570" t="s">
        <v>42</v>
      </c>
      <c r="E570" t="s">
        <v>8</v>
      </c>
      <c r="F570" t="s">
        <v>7</v>
      </c>
      <c r="G570" t="s">
        <v>20</v>
      </c>
      <c r="H570">
        <v>14</v>
      </c>
      <c r="I570" s="3">
        <v>48921</v>
      </c>
      <c r="J570" s="2">
        <v>0.15</v>
      </c>
      <c r="K570" s="3">
        <v>582159.9</v>
      </c>
      <c r="L570" s="3">
        <v>309904.24</v>
      </c>
      <c r="M570" s="3">
        <v>272255.65999999997</v>
      </c>
    </row>
    <row r="571" spans="1:13" x14ac:dyDescent="0.3">
      <c r="A571" t="s">
        <v>883</v>
      </c>
      <c r="B571" s="4">
        <v>45985</v>
      </c>
      <c r="C571" t="s">
        <v>882</v>
      </c>
      <c r="D571" t="s">
        <v>17</v>
      </c>
      <c r="E571" t="s">
        <v>2</v>
      </c>
      <c r="F571" t="s">
        <v>7</v>
      </c>
      <c r="G571" t="s">
        <v>37</v>
      </c>
      <c r="H571">
        <v>11</v>
      </c>
      <c r="I571" s="3">
        <v>66041</v>
      </c>
      <c r="J571" s="2">
        <v>0.05</v>
      </c>
      <c r="K571" s="3">
        <v>690128.45</v>
      </c>
      <c r="L571" s="3">
        <v>407698.25</v>
      </c>
      <c r="M571" s="3">
        <v>282430.2</v>
      </c>
    </row>
    <row r="572" spans="1:13" x14ac:dyDescent="0.3">
      <c r="A572" t="s">
        <v>881</v>
      </c>
      <c r="B572" s="4">
        <v>45805</v>
      </c>
      <c r="C572" t="s">
        <v>880</v>
      </c>
      <c r="D572" t="s">
        <v>28</v>
      </c>
      <c r="E572" t="s">
        <v>8</v>
      </c>
      <c r="F572" t="s">
        <v>13</v>
      </c>
      <c r="G572" t="s">
        <v>0</v>
      </c>
      <c r="H572">
        <v>14</v>
      </c>
      <c r="I572" s="3">
        <v>22590</v>
      </c>
      <c r="J572" s="2">
        <v>0.15</v>
      </c>
      <c r="K572" s="3">
        <v>268821</v>
      </c>
      <c r="L572" s="3">
        <v>170711.73</v>
      </c>
      <c r="M572" s="3">
        <v>98109.27</v>
      </c>
    </row>
    <row r="573" spans="1:13" x14ac:dyDescent="0.3">
      <c r="A573" t="s">
        <v>879</v>
      </c>
      <c r="B573" s="4">
        <v>45606</v>
      </c>
      <c r="C573" t="s">
        <v>878</v>
      </c>
      <c r="D573" t="s">
        <v>9</v>
      </c>
      <c r="E573" t="s">
        <v>8</v>
      </c>
      <c r="F573" t="s">
        <v>7</v>
      </c>
      <c r="G573" t="s">
        <v>12</v>
      </c>
      <c r="H573">
        <v>9</v>
      </c>
      <c r="I573" s="3">
        <v>16183</v>
      </c>
      <c r="J573" s="2">
        <v>0</v>
      </c>
      <c r="K573" s="3">
        <v>145647</v>
      </c>
      <c r="L573" s="3">
        <v>122192.15</v>
      </c>
      <c r="M573" s="3">
        <v>23454.85</v>
      </c>
    </row>
    <row r="574" spans="1:13" x14ac:dyDescent="0.3">
      <c r="A574" t="s">
        <v>877</v>
      </c>
      <c r="B574" s="4">
        <v>45741</v>
      </c>
      <c r="C574" t="s">
        <v>876</v>
      </c>
      <c r="D574" t="s">
        <v>3</v>
      </c>
      <c r="E574" t="s">
        <v>2</v>
      </c>
      <c r="F574" t="s">
        <v>33</v>
      </c>
      <c r="G574" t="s">
        <v>20</v>
      </c>
      <c r="H574">
        <v>10</v>
      </c>
      <c r="I574" s="3">
        <v>61018</v>
      </c>
      <c r="J574" s="2">
        <v>0.2</v>
      </c>
      <c r="K574" s="3">
        <v>488144</v>
      </c>
      <c r="L574" s="3">
        <v>284502.37</v>
      </c>
      <c r="M574" s="3">
        <v>203641.63</v>
      </c>
    </row>
    <row r="575" spans="1:13" x14ac:dyDescent="0.3">
      <c r="A575" t="s">
        <v>875</v>
      </c>
      <c r="B575" s="4">
        <v>45619</v>
      </c>
      <c r="C575" t="s">
        <v>874</v>
      </c>
      <c r="D575" t="s">
        <v>9</v>
      </c>
      <c r="E575" t="s">
        <v>8</v>
      </c>
      <c r="F575" t="s">
        <v>7</v>
      </c>
      <c r="G575" t="s">
        <v>16</v>
      </c>
      <c r="H575">
        <v>1</v>
      </c>
      <c r="I575" s="3">
        <v>52381</v>
      </c>
      <c r="J575" s="2">
        <v>0.15</v>
      </c>
      <c r="K575" s="3">
        <v>44523.85</v>
      </c>
      <c r="L575" s="3">
        <v>34629.599999999999</v>
      </c>
      <c r="M575" s="3">
        <v>9894.25</v>
      </c>
    </row>
    <row r="576" spans="1:13" x14ac:dyDescent="0.3">
      <c r="A576" t="s">
        <v>873</v>
      </c>
      <c r="B576" s="4">
        <v>46116</v>
      </c>
      <c r="C576" t="s">
        <v>872</v>
      </c>
      <c r="D576" t="s">
        <v>25</v>
      </c>
      <c r="E576" t="s">
        <v>24</v>
      </c>
      <c r="F576" t="s">
        <v>33</v>
      </c>
      <c r="G576" t="s">
        <v>0</v>
      </c>
      <c r="H576">
        <v>4</v>
      </c>
      <c r="I576" s="3">
        <v>45510</v>
      </c>
      <c r="J576" s="2">
        <v>0.2</v>
      </c>
      <c r="K576" s="3">
        <v>145632</v>
      </c>
      <c r="L576" s="3">
        <v>118900.8</v>
      </c>
      <c r="M576" s="3">
        <v>26731.200000000001</v>
      </c>
    </row>
    <row r="577" spans="1:13" x14ac:dyDescent="0.3">
      <c r="A577" t="s">
        <v>871</v>
      </c>
      <c r="B577" s="4">
        <v>45485</v>
      </c>
      <c r="C577" t="s">
        <v>870</v>
      </c>
      <c r="D577" t="s">
        <v>17</v>
      </c>
      <c r="E577" t="s">
        <v>2</v>
      </c>
      <c r="F577" t="s">
        <v>33</v>
      </c>
      <c r="G577" t="s">
        <v>16</v>
      </c>
      <c r="H577">
        <v>8</v>
      </c>
      <c r="I577" s="3">
        <v>3143</v>
      </c>
      <c r="J577" s="2">
        <v>0</v>
      </c>
      <c r="K577" s="3">
        <v>25144</v>
      </c>
      <c r="L577" s="3">
        <v>20300.54</v>
      </c>
      <c r="M577" s="3">
        <v>4843.46</v>
      </c>
    </row>
    <row r="578" spans="1:13" x14ac:dyDescent="0.3">
      <c r="A578" t="s">
        <v>869</v>
      </c>
      <c r="B578" s="4">
        <v>45835</v>
      </c>
      <c r="C578" t="s">
        <v>868</v>
      </c>
      <c r="D578" t="s">
        <v>34</v>
      </c>
      <c r="E578" t="s">
        <v>24</v>
      </c>
      <c r="F578" t="s">
        <v>1</v>
      </c>
      <c r="G578" t="s">
        <v>37</v>
      </c>
      <c r="H578">
        <v>5</v>
      </c>
      <c r="I578" s="3">
        <v>60963</v>
      </c>
      <c r="J578" s="2">
        <v>0.05</v>
      </c>
      <c r="K578" s="3">
        <v>289574.25</v>
      </c>
      <c r="L578" s="3">
        <v>178782</v>
      </c>
      <c r="M578" s="3">
        <v>110792.25</v>
      </c>
    </row>
    <row r="579" spans="1:13" x14ac:dyDescent="0.3">
      <c r="A579" t="s">
        <v>867</v>
      </c>
      <c r="B579" s="4">
        <v>45518</v>
      </c>
      <c r="C579" t="s">
        <v>866</v>
      </c>
      <c r="D579" t="s">
        <v>56</v>
      </c>
      <c r="E579" t="s">
        <v>24</v>
      </c>
      <c r="F579" t="s">
        <v>7</v>
      </c>
      <c r="G579" t="s">
        <v>37</v>
      </c>
      <c r="H579">
        <v>14</v>
      </c>
      <c r="I579" s="3">
        <v>62071</v>
      </c>
      <c r="J579" s="2">
        <v>0.2</v>
      </c>
      <c r="K579" s="3">
        <v>695195.2</v>
      </c>
      <c r="L579" s="3">
        <v>355522.22</v>
      </c>
      <c r="M579" s="3">
        <v>339672.98</v>
      </c>
    </row>
    <row r="580" spans="1:13" x14ac:dyDescent="0.3">
      <c r="A580" t="s">
        <v>865</v>
      </c>
      <c r="B580" s="4">
        <v>46159</v>
      </c>
      <c r="C580" t="s">
        <v>864</v>
      </c>
      <c r="D580" t="s">
        <v>25</v>
      </c>
      <c r="E580" t="s">
        <v>24</v>
      </c>
      <c r="F580" t="s">
        <v>1</v>
      </c>
      <c r="G580" t="s">
        <v>37</v>
      </c>
      <c r="H580">
        <v>12</v>
      </c>
      <c r="I580" s="3">
        <v>58937</v>
      </c>
      <c r="J580" s="2">
        <v>0.15</v>
      </c>
      <c r="K580" s="3">
        <v>601157.4</v>
      </c>
      <c r="L580" s="3">
        <v>439656.34</v>
      </c>
      <c r="M580" s="3">
        <v>161501.06</v>
      </c>
    </row>
    <row r="581" spans="1:13" x14ac:dyDescent="0.3">
      <c r="A581" t="s">
        <v>863</v>
      </c>
      <c r="B581" s="4">
        <v>45958</v>
      </c>
      <c r="C581" t="s">
        <v>862</v>
      </c>
      <c r="D581" t="s">
        <v>53</v>
      </c>
      <c r="E581" t="s">
        <v>2</v>
      </c>
      <c r="F581" t="s">
        <v>1</v>
      </c>
      <c r="G581" t="s">
        <v>16</v>
      </c>
      <c r="H581">
        <v>11</v>
      </c>
      <c r="I581" s="3">
        <v>6442</v>
      </c>
      <c r="J581" s="2">
        <v>0.15</v>
      </c>
      <c r="K581" s="3">
        <v>60232.7</v>
      </c>
      <c r="L581" s="3">
        <v>47465.03</v>
      </c>
      <c r="M581" s="3">
        <v>12767.67</v>
      </c>
    </row>
    <row r="582" spans="1:13" x14ac:dyDescent="0.3">
      <c r="A582" t="s">
        <v>861</v>
      </c>
      <c r="B582" s="4">
        <v>46085</v>
      </c>
      <c r="C582" t="s">
        <v>860</v>
      </c>
      <c r="D582" t="s">
        <v>56</v>
      </c>
      <c r="E582" t="s">
        <v>24</v>
      </c>
      <c r="F582" t="s">
        <v>13</v>
      </c>
      <c r="G582" t="s">
        <v>16</v>
      </c>
      <c r="H582">
        <v>3</v>
      </c>
      <c r="I582" s="3">
        <v>48497</v>
      </c>
      <c r="J582" s="2">
        <v>0.05</v>
      </c>
      <c r="K582" s="3">
        <v>138216.45000000001</v>
      </c>
      <c r="L582" s="3">
        <v>79954.09</v>
      </c>
      <c r="M582" s="3">
        <v>58262.36</v>
      </c>
    </row>
    <row r="583" spans="1:13" x14ac:dyDescent="0.3">
      <c r="A583" t="s">
        <v>859</v>
      </c>
      <c r="B583" s="4">
        <v>46024</v>
      </c>
      <c r="C583" t="s">
        <v>858</v>
      </c>
      <c r="D583" t="s">
        <v>56</v>
      </c>
      <c r="E583" t="s">
        <v>24</v>
      </c>
      <c r="F583" t="s">
        <v>1</v>
      </c>
      <c r="G583" t="s">
        <v>16</v>
      </c>
      <c r="H583">
        <v>6</v>
      </c>
      <c r="I583" s="3">
        <v>67421</v>
      </c>
      <c r="J583" s="2">
        <v>0.2</v>
      </c>
      <c r="K583" s="3">
        <v>323620.8</v>
      </c>
      <c r="L583" s="3">
        <v>183268.62</v>
      </c>
      <c r="M583" s="3">
        <v>140352.18</v>
      </c>
    </row>
    <row r="584" spans="1:13" x14ac:dyDescent="0.3">
      <c r="A584" t="s">
        <v>857</v>
      </c>
      <c r="B584" s="4">
        <v>45980</v>
      </c>
      <c r="C584" t="s">
        <v>856</v>
      </c>
      <c r="D584" t="s">
        <v>42</v>
      </c>
      <c r="E584" t="s">
        <v>8</v>
      </c>
      <c r="F584" t="s">
        <v>33</v>
      </c>
      <c r="G584" t="s">
        <v>20</v>
      </c>
      <c r="H584">
        <v>1</v>
      </c>
      <c r="I584" s="3">
        <v>23983</v>
      </c>
      <c r="J584" s="2">
        <v>0</v>
      </c>
      <c r="K584" s="3">
        <v>23983</v>
      </c>
      <c r="L584" s="3">
        <v>19923.919999999998</v>
      </c>
      <c r="M584" s="3">
        <v>4059.08</v>
      </c>
    </row>
    <row r="585" spans="1:13" x14ac:dyDescent="0.3">
      <c r="A585" t="s">
        <v>855</v>
      </c>
      <c r="B585" s="4">
        <v>46028</v>
      </c>
      <c r="C585" t="s">
        <v>854</v>
      </c>
      <c r="D585" t="s">
        <v>28</v>
      </c>
      <c r="E585" t="s">
        <v>8</v>
      </c>
      <c r="F585" t="s">
        <v>13</v>
      </c>
      <c r="G585" t="s">
        <v>6</v>
      </c>
      <c r="H585">
        <v>12</v>
      </c>
      <c r="I585" s="3">
        <v>47177</v>
      </c>
      <c r="J585" s="2">
        <v>0</v>
      </c>
      <c r="K585" s="3">
        <v>566124</v>
      </c>
      <c r="L585" s="3">
        <v>478138.21</v>
      </c>
      <c r="M585" s="3">
        <v>87985.79</v>
      </c>
    </row>
    <row r="586" spans="1:13" x14ac:dyDescent="0.3">
      <c r="A586" t="s">
        <v>853</v>
      </c>
      <c r="B586" s="4">
        <v>45878</v>
      </c>
      <c r="C586" t="s">
        <v>852</v>
      </c>
      <c r="D586" t="s">
        <v>25</v>
      </c>
      <c r="E586" t="s">
        <v>24</v>
      </c>
      <c r="F586" t="s">
        <v>13</v>
      </c>
      <c r="G586" t="s">
        <v>0</v>
      </c>
      <c r="H586">
        <v>15</v>
      </c>
      <c r="I586" s="3">
        <v>34205</v>
      </c>
      <c r="J586" s="2">
        <v>0.15</v>
      </c>
      <c r="K586" s="3">
        <v>436113.75</v>
      </c>
      <c r="L586" s="3">
        <v>229642.66</v>
      </c>
      <c r="M586" s="3">
        <v>206471.09</v>
      </c>
    </row>
    <row r="587" spans="1:13" x14ac:dyDescent="0.3">
      <c r="A587" t="s">
        <v>851</v>
      </c>
      <c r="B587" s="4">
        <v>45916</v>
      </c>
      <c r="C587" t="s">
        <v>850</v>
      </c>
      <c r="D587" t="s">
        <v>56</v>
      </c>
      <c r="E587" t="s">
        <v>24</v>
      </c>
      <c r="F587" t="s">
        <v>33</v>
      </c>
      <c r="G587" t="s">
        <v>20</v>
      </c>
      <c r="H587">
        <v>5</v>
      </c>
      <c r="I587" s="3">
        <v>48424</v>
      </c>
      <c r="J587" s="2">
        <v>0.1</v>
      </c>
      <c r="K587" s="3">
        <v>217908</v>
      </c>
      <c r="L587" s="3">
        <v>159379.54</v>
      </c>
      <c r="M587" s="3">
        <v>58528.46</v>
      </c>
    </row>
    <row r="588" spans="1:13" x14ac:dyDescent="0.3">
      <c r="A588" t="s">
        <v>849</v>
      </c>
      <c r="B588" s="4">
        <v>45789</v>
      </c>
      <c r="C588" t="s">
        <v>848</v>
      </c>
      <c r="D588" t="s">
        <v>42</v>
      </c>
      <c r="E588" t="s">
        <v>8</v>
      </c>
      <c r="F588" t="s">
        <v>23</v>
      </c>
      <c r="G588" t="s">
        <v>37</v>
      </c>
      <c r="H588">
        <v>15</v>
      </c>
      <c r="I588" s="3">
        <v>66289</v>
      </c>
      <c r="J588" s="2">
        <v>0.15</v>
      </c>
      <c r="K588" s="3">
        <v>845184.75</v>
      </c>
      <c r="L588" s="3">
        <v>530186.84</v>
      </c>
      <c r="M588" s="3">
        <v>314997.90999999997</v>
      </c>
    </row>
    <row r="589" spans="1:13" x14ac:dyDescent="0.3">
      <c r="A589" t="s">
        <v>847</v>
      </c>
      <c r="B589" s="4">
        <v>45842</v>
      </c>
      <c r="C589" t="s">
        <v>846</v>
      </c>
      <c r="D589" t="s">
        <v>42</v>
      </c>
      <c r="E589" t="s">
        <v>8</v>
      </c>
      <c r="F589" t="s">
        <v>13</v>
      </c>
      <c r="G589" t="s">
        <v>12</v>
      </c>
      <c r="H589">
        <v>9</v>
      </c>
      <c r="I589" s="3">
        <v>50436</v>
      </c>
      <c r="J589" s="2">
        <v>0.15</v>
      </c>
      <c r="K589" s="3">
        <v>385835.4</v>
      </c>
      <c r="L589" s="3">
        <v>234935.79</v>
      </c>
      <c r="M589" s="3">
        <v>150899.60999999999</v>
      </c>
    </row>
    <row r="590" spans="1:13" x14ac:dyDescent="0.3">
      <c r="A590" t="s">
        <v>845</v>
      </c>
      <c r="B590" s="4">
        <v>46045</v>
      </c>
      <c r="C590" t="s">
        <v>844</v>
      </c>
      <c r="D590" t="s">
        <v>9</v>
      </c>
      <c r="E590" t="s">
        <v>8</v>
      </c>
      <c r="F590" t="s">
        <v>33</v>
      </c>
      <c r="G590" t="s">
        <v>12</v>
      </c>
      <c r="H590">
        <v>12</v>
      </c>
      <c r="I590" s="3">
        <v>61145</v>
      </c>
      <c r="J590" s="2">
        <v>0</v>
      </c>
      <c r="K590" s="3">
        <v>733740</v>
      </c>
      <c r="L590" s="3">
        <v>610383.27</v>
      </c>
      <c r="M590" s="3">
        <v>123356.73</v>
      </c>
    </row>
    <row r="591" spans="1:13" x14ac:dyDescent="0.3">
      <c r="A591" t="s">
        <v>843</v>
      </c>
      <c r="B591" s="4">
        <v>45667</v>
      </c>
      <c r="C591" t="s">
        <v>842</v>
      </c>
      <c r="D591" t="s">
        <v>17</v>
      </c>
      <c r="E591" t="s">
        <v>2</v>
      </c>
      <c r="F591" t="s">
        <v>13</v>
      </c>
      <c r="G591" t="s">
        <v>37</v>
      </c>
      <c r="H591">
        <v>3</v>
      </c>
      <c r="I591" s="3">
        <v>25596</v>
      </c>
      <c r="J591" s="2">
        <v>0.2</v>
      </c>
      <c r="K591" s="3">
        <v>61430.400000000001</v>
      </c>
      <c r="L591" s="3">
        <v>50452.81</v>
      </c>
      <c r="M591" s="3">
        <v>10977.59</v>
      </c>
    </row>
    <row r="592" spans="1:13" x14ac:dyDescent="0.3">
      <c r="A592" t="s">
        <v>841</v>
      </c>
      <c r="B592" s="4">
        <v>45880</v>
      </c>
      <c r="C592" t="s">
        <v>840</v>
      </c>
      <c r="D592" t="s">
        <v>25</v>
      </c>
      <c r="E592" t="s">
        <v>24</v>
      </c>
      <c r="F592" t="s">
        <v>13</v>
      </c>
      <c r="G592" t="s">
        <v>37</v>
      </c>
      <c r="H592">
        <v>12</v>
      </c>
      <c r="I592" s="3">
        <v>37814</v>
      </c>
      <c r="J592" s="2">
        <v>0.05</v>
      </c>
      <c r="K592" s="3">
        <v>431079.6</v>
      </c>
      <c r="L592" s="3">
        <v>259471.1</v>
      </c>
      <c r="M592" s="3">
        <v>171608.5</v>
      </c>
    </row>
    <row r="593" spans="1:13" x14ac:dyDescent="0.3">
      <c r="A593" t="s">
        <v>839</v>
      </c>
      <c r="B593" s="4">
        <v>45690</v>
      </c>
      <c r="C593" t="s">
        <v>838</v>
      </c>
      <c r="D593" t="s">
        <v>34</v>
      </c>
      <c r="E593" t="s">
        <v>24</v>
      </c>
      <c r="F593" t="s">
        <v>7</v>
      </c>
      <c r="G593" t="s">
        <v>6</v>
      </c>
      <c r="H593">
        <v>7</v>
      </c>
      <c r="I593" s="3">
        <v>12051</v>
      </c>
      <c r="J593" s="2">
        <v>0.15</v>
      </c>
      <c r="K593" s="3">
        <v>71703.45</v>
      </c>
      <c r="L593" s="3">
        <v>48223.97</v>
      </c>
      <c r="M593" s="3">
        <v>23479.48</v>
      </c>
    </row>
    <row r="594" spans="1:13" x14ac:dyDescent="0.3">
      <c r="A594" t="s">
        <v>837</v>
      </c>
      <c r="B594" s="4">
        <v>45687</v>
      </c>
      <c r="C594" t="s">
        <v>836</v>
      </c>
      <c r="D594" t="s">
        <v>56</v>
      </c>
      <c r="E594" t="s">
        <v>24</v>
      </c>
      <c r="F594" t="s">
        <v>7</v>
      </c>
      <c r="G594" t="s">
        <v>12</v>
      </c>
      <c r="H594">
        <v>3</v>
      </c>
      <c r="I594" s="3">
        <v>65980</v>
      </c>
      <c r="J594" s="2">
        <v>0</v>
      </c>
      <c r="K594" s="3">
        <v>197940</v>
      </c>
      <c r="L594" s="3">
        <v>153954.03</v>
      </c>
      <c r="M594" s="3">
        <v>43985.97</v>
      </c>
    </row>
    <row r="595" spans="1:13" x14ac:dyDescent="0.3">
      <c r="A595" t="s">
        <v>835</v>
      </c>
      <c r="B595" s="4">
        <v>45442</v>
      </c>
      <c r="C595" t="s">
        <v>834</v>
      </c>
      <c r="D595" t="s">
        <v>53</v>
      </c>
      <c r="E595" t="s">
        <v>2</v>
      </c>
      <c r="F595" t="s">
        <v>13</v>
      </c>
      <c r="G595" t="s">
        <v>12</v>
      </c>
      <c r="H595">
        <v>13</v>
      </c>
      <c r="I595" s="3">
        <v>9080</v>
      </c>
      <c r="J595" s="2">
        <v>0.05</v>
      </c>
      <c r="K595" s="3">
        <v>112138</v>
      </c>
      <c r="L595" s="3">
        <v>68157.539999999994</v>
      </c>
      <c r="M595" s="3">
        <v>43980.46</v>
      </c>
    </row>
    <row r="596" spans="1:13" x14ac:dyDescent="0.3">
      <c r="A596" t="s">
        <v>833</v>
      </c>
      <c r="B596" s="4">
        <v>45666</v>
      </c>
      <c r="C596" t="s">
        <v>832</v>
      </c>
      <c r="D596" t="s">
        <v>28</v>
      </c>
      <c r="E596" t="s">
        <v>8</v>
      </c>
      <c r="F596" t="s">
        <v>33</v>
      </c>
      <c r="G596" t="s">
        <v>0</v>
      </c>
      <c r="H596">
        <v>15</v>
      </c>
      <c r="I596" s="3">
        <v>8011</v>
      </c>
      <c r="J596" s="2">
        <v>0.2</v>
      </c>
      <c r="K596" s="3">
        <v>96132</v>
      </c>
      <c r="L596" s="3">
        <v>58080.19</v>
      </c>
      <c r="M596" s="3">
        <v>38051.81</v>
      </c>
    </row>
    <row r="597" spans="1:13" x14ac:dyDescent="0.3">
      <c r="A597" t="s">
        <v>831</v>
      </c>
      <c r="B597" s="4">
        <v>45773</v>
      </c>
      <c r="C597" t="s">
        <v>830</v>
      </c>
      <c r="D597" t="s">
        <v>42</v>
      </c>
      <c r="E597" t="s">
        <v>8</v>
      </c>
      <c r="F597" t="s">
        <v>7</v>
      </c>
      <c r="G597" t="s">
        <v>16</v>
      </c>
      <c r="H597">
        <v>5</v>
      </c>
      <c r="I597" s="3">
        <v>41554</v>
      </c>
      <c r="J597" s="2">
        <v>0.15</v>
      </c>
      <c r="K597" s="3">
        <v>176604.5</v>
      </c>
      <c r="L597" s="3">
        <v>100500.83</v>
      </c>
      <c r="M597" s="3">
        <v>76103.67</v>
      </c>
    </row>
    <row r="598" spans="1:13" x14ac:dyDescent="0.3">
      <c r="A598" t="s">
        <v>829</v>
      </c>
      <c r="B598" s="4">
        <v>45736</v>
      </c>
      <c r="C598" t="s">
        <v>828</v>
      </c>
      <c r="D598" t="s">
        <v>25</v>
      </c>
      <c r="E598" t="s">
        <v>24</v>
      </c>
      <c r="F598" t="s">
        <v>33</v>
      </c>
      <c r="G598" t="s">
        <v>16</v>
      </c>
      <c r="H598">
        <v>11</v>
      </c>
      <c r="I598" s="3">
        <v>35106</v>
      </c>
      <c r="J598" s="2">
        <v>0.1</v>
      </c>
      <c r="K598" s="3">
        <v>347549.4</v>
      </c>
      <c r="L598" s="3">
        <v>221698.24</v>
      </c>
      <c r="M598" s="3">
        <v>125851.16</v>
      </c>
    </row>
    <row r="599" spans="1:13" x14ac:dyDescent="0.3">
      <c r="A599" t="s">
        <v>827</v>
      </c>
      <c r="B599" s="4">
        <v>45785</v>
      </c>
      <c r="C599" t="s">
        <v>826</v>
      </c>
      <c r="D599" t="s">
        <v>25</v>
      </c>
      <c r="E599" t="s">
        <v>24</v>
      </c>
      <c r="F599" t="s">
        <v>1</v>
      </c>
      <c r="G599" t="s">
        <v>0</v>
      </c>
      <c r="H599">
        <v>4</v>
      </c>
      <c r="I599" s="3">
        <v>60013</v>
      </c>
      <c r="J599" s="2">
        <v>0.2</v>
      </c>
      <c r="K599" s="3">
        <v>192041.60000000001</v>
      </c>
      <c r="L599" s="3">
        <v>152286.63</v>
      </c>
      <c r="M599" s="3">
        <v>39754.97</v>
      </c>
    </row>
    <row r="600" spans="1:13" x14ac:dyDescent="0.3">
      <c r="A600" t="s">
        <v>825</v>
      </c>
      <c r="B600" s="4">
        <v>45510</v>
      </c>
      <c r="C600" t="s">
        <v>824</v>
      </c>
      <c r="D600" t="s">
        <v>3</v>
      </c>
      <c r="E600" t="s">
        <v>2</v>
      </c>
      <c r="F600" t="s">
        <v>33</v>
      </c>
      <c r="G600" t="s">
        <v>37</v>
      </c>
      <c r="H600">
        <v>5</v>
      </c>
      <c r="I600" s="3">
        <v>71212</v>
      </c>
      <c r="J600" s="2">
        <v>0.15</v>
      </c>
      <c r="K600" s="3">
        <v>302651</v>
      </c>
      <c r="L600" s="3">
        <v>221381.94</v>
      </c>
      <c r="M600" s="3">
        <v>81269.06</v>
      </c>
    </row>
    <row r="601" spans="1:13" x14ac:dyDescent="0.3">
      <c r="A601" t="s">
        <v>823</v>
      </c>
      <c r="B601" s="4">
        <v>46155</v>
      </c>
      <c r="C601" t="s">
        <v>822</v>
      </c>
      <c r="D601" t="s">
        <v>56</v>
      </c>
      <c r="E601" t="s">
        <v>24</v>
      </c>
      <c r="F601" t="s">
        <v>23</v>
      </c>
      <c r="G601" t="s">
        <v>0</v>
      </c>
      <c r="H601">
        <v>6</v>
      </c>
      <c r="I601" s="3">
        <v>52844</v>
      </c>
      <c r="J601" s="2">
        <v>0.2</v>
      </c>
      <c r="K601" s="3">
        <v>253651.20000000001</v>
      </c>
      <c r="L601" s="3">
        <v>198822.77</v>
      </c>
      <c r="M601" s="3">
        <v>54828.43</v>
      </c>
    </row>
    <row r="602" spans="1:13" x14ac:dyDescent="0.3">
      <c r="A602" t="s">
        <v>821</v>
      </c>
      <c r="B602" s="4">
        <v>45812</v>
      </c>
      <c r="C602" t="s">
        <v>820</v>
      </c>
      <c r="D602" t="s">
        <v>25</v>
      </c>
      <c r="E602" t="s">
        <v>24</v>
      </c>
      <c r="F602" t="s">
        <v>13</v>
      </c>
      <c r="G602" t="s">
        <v>0</v>
      </c>
      <c r="H602">
        <v>1</v>
      </c>
      <c r="I602" s="3">
        <v>70756</v>
      </c>
      <c r="J602" s="2">
        <v>0.2</v>
      </c>
      <c r="K602" s="3">
        <v>56604.800000000003</v>
      </c>
      <c r="L602" s="3">
        <v>34356.58</v>
      </c>
      <c r="M602" s="3">
        <v>22248.22</v>
      </c>
    </row>
    <row r="603" spans="1:13" x14ac:dyDescent="0.3">
      <c r="A603" t="s">
        <v>819</v>
      </c>
      <c r="B603" s="4">
        <v>45890</v>
      </c>
      <c r="C603" t="s">
        <v>818</v>
      </c>
      <c r="D603" t="s">
        <v>25</v>
      </c>
      <c r="E603" t="s">
        <v>24</v>
      </c>
      <c r="F603" t="s">
        <v>13</v>
      </c>
      <c r="G603" t="s">
        <v>6</v>
      </c>
      <c r="H603">
        <v>15</v>
      </c>
      <c r="I603" s="3">
        <v>10157</v>
      </c>
      <c r="J603" s="2">
        <v>0.2</v>
      </c>
      <c r="K603" s="3">
        <v>121884</v>
      </c>
      <c r="L603" s="3">
        <v>65054.54</v>
      </c>
      <c r="M603" s="3">
        <v>56829.46</v>
      </c>
    </row>
    <row r="604" spans="1:13" x14ac:dyDescent="0.3">
      <c r="A604" t="s">
        <v>817</v>
      </c>
      <c r="B604" s="4">
        <v>45566</v>
      </c>
      <c r="C604" t="s">
        <v>816</v>
      </c>
      <c r="D604" t="s">
        <v>34</v>
      </c>
      <c r="E604" t="s">
        <v>24</v>
      </c>
      <c r="F604" t="s">
        <v>23</v>
      </c>
      <c r="G604" t="s">
        <v>16</v>
      </c>
      <c r="H604">
        <v>2</v>
      </c>
      <c r="I604" s="3">
        <v>41232</v>
      </c>
      <c r="J604" s="2">
        <v>0.05</v>
      </c>
      <c r="K604" s="3">
        <v>78340.800000000003</v>
      </c>
      <c r="L604" s="3">
        <v>56849.59</v>
      </c>
      <c r="M604" s="3">
        <v>21491.21</v>
      </c>
    </row>
    <row r="605" spans="1:13" x14ac:dyDescent="0.3">
      <c r="A605" t="s">
        <v>815</v>
      </c>
      <c r="B605" s="4">
        <v>45675</v>
      </c>
      <c r="C605" t="s">
        <v>814</v>
      </c>
      <c r="D605" t="s">
        <v>34</v>
      </c>
      <c r="E605" t="s">
        <v>24</v>
      </c>
      <c r="F605" t="s">
        <v>7</v>
      </c>
      <c r="G605" t="s">
        <v>0</v>
      </c>
      <c r="H605">
        <v>14</v>
      </c>
      <c r="I605" s="3">
        <v>45793</v>
      </c>
      <c r="J605" s="2">
        <v>0.15</v>
      </c>
      <c r="K605" s="3">
        <v>544936.69999999995</v>
      </c>
      <c r="L605" s="3">
        <v>347342.37</v>
      </c>
      <c r="M605" s="3">
        <v>197594.33</v>
      </c>
    </row>
    <row r="606" spans="1:13" x14ac:dyDescent="0.3">
      <c r="A606" t="s">
        <v>813</v>
      </c>
      <c r="B606" s="4">
        <v>45969</v>
      </c>
      <c r="C606" t="s">
        <v>812</v>
      </c>
      <c r="D606" t="s">
        <v>53</v>
      </c>
      <c r="E606" t="s">
        <v>2</v>
      </c>
      <c r="F606" t="s">
        <v>33</v>
      </c>
      <c r="G606" t="s">
        <v>6</v>
      </c>
      <c r="H606">
        <v>14</v>
      </c>
      <c r="I606" s="3">
        <v>19798</v>
      </c>
      <c r="J606" s="2">
        <v>0.2</v>
      </c>
      <c r="K606" s="3">
        <v>221737.60000000001</v>
      </c>
      <c r="L606" s="3">
        <v>167961.98</v>
      </c>
      <c r="M606" s="3">
        <v>53775.62</v>
      </c>
    </row>
    <row r="607" spans="1:13" x14ac:dyDescent="0.3">
      <c r="A607" t="s">
        <v>811</v>
      </c>
      <c r="B607" s="4">
        <v>45760</v>
      </c>
      <c r="C607" t="s">
        <v>810</v>
      </c>
      <c r="D607" t="s">
        <v>25</v>
      </c>
      <c r="E607" t="s">
        <v>24</v>
      </c>
      <c r="F607" t="s">
        <v>23</v>
      </c>
      <c r="G607" t="s">
        <v>20</v>
      </c>
      <c r="H607">
        <v>4</v>
      </c>
      <c r="I607" s="3">
        <v>45397</v>
      </c>
      <c r="J607" s="2">
        <v>0</v>
      </c>
      <c r="K607" s="3">
        <v>181588</v>
      </c>
      <c r="L607" s="3">
        <v>149554.41</v>
      </c>
      <c r="M607" s="3">
        <v>32033.59</v>
      </c>
    </row>
    <row r="608" spans="1:13" x14ac:dyDescent="0.3">
      <c r="A608" t="s">
        <v>809</v>
      </c>
      <c r="B608" s="4">
        <v>45595</v>
      </c>
      <c r="C608" t="s">
        <v>808</v>
      </c>
      <c r="D608" t="s">
        <v>53</v>
      </c>
      <c r="E608" t="s">
        <v>2</v>
      </c>
      <c r="F608" t="s">
        <v>1</v>
      </c>
      <c r="G608" t="s">
        <v>20</v>
      </c>
      <c r="H608">
        <v>11</v>
      </c>
      <c r="I608" s="3">
        <v>31873</v>
      </c>
      <c r="J608" s="2">
        <v>0.2</v>
      </c>
      <c r="K608" s="3">
        <v>280482.40000000002</v>
      </c>
      <c r="L608" s="3">
        <v>182704.48</v>
      </c>
      <c r="M608" s="3">
        <v>97777.919999999998</v>
      </c>
    </row>
    <row r="609" spans="1:13" x14ac:dyDescent="0.3">
      <c r="A609" t="s">
        <v>807</v>
      </c>
      <c r="B609" s="4">
        <v>45923</v>
      </c>
      <c r="C609" t="s">
        <v>806</v>
      </c>
      <c r="D609" t="s">
        <v>28</v>
      </c>
      <c r="E609" t="s">
        <v>8</v>
      </c>
      <c r="F609" t="s">
        <v>1</v>
      </c>
      <c r="G609" t="s">
        <v>20</v>
      </c>
      <c r="H609">
        <v>13</v>
      </c>
      <c r="I609" s="3">
        <v>18361</v>
      </c>
      <c r="J609" s="2">
        <v>0.05</v>
      </c>
      <c r="K609" s="3">
        <v>226758.35</v>
      </c>
      <c r="L609" s="3">
        <v>131012.69</v>
      </c>
      <c r="M609" s="3">
        <v>95745.66</v>
      </c>
    </row>
    <row r="610" spans="1:13" x14ac:dyDescent="0.3">
      <c r="A610" t="s">
        <v>805</v>
      </c>
      <c r="B610" s="4">
        <v>45924</v>
      </c>
      <c r="C610" t="s">
        <v>804</v>
      </c>
      <c r="D610" t="s">
        <v>17</v>
      </c>
      <c r="E610" t="s">
        <v>2</v>
      </c>
      <c r="F610" t="s">
        <v>1</v>
      </c>
      <c r="G610" t="s">
        <v>6</v>
      </c>
      <c r="H610">
        <v>15</v>
      </c>
      <c r="I610" s="3">
        <v>5387</v>
      </c>
      <c r="J610" s="2">
        <v>0.15</v>
      </c>
      <c r="K610" s="3">
        <v>68684.25</v>
      </c>
      <c r="L610" s="3">
        <v>55464.85</v>
      </c>
      <c r="M610" s="3">
        <v>13219.4</v>
      </c>
    </row>
    <row r="611" spans="1:13" x14ac:dyDescent="0.3">
      <c r="A611" t="s">
        <v>803</v>
      </c>
      <c r="B611" s="4">
        <v>46045</v>
      </c>
      <c r="C611" t="s">
        <v>802</v>
      </c>
      <c r="D611" t="s">
        <v>9</v>
      </c>
      <c r="E611" t="s">
        <v>8</v>
      </c>
      <c r="F611" t="s">
        <v>13</v>
      </c>
      <c r="G611" t="s">
        <v>20</v>
      </c>
      <c r="H611">
        <v>7</v>
      </c>
      <c r="I611" s="3">
        <v>37054</v>
      </c>
      <c r="J611" s="2">
        <v>0</v>
      </c>
      <c r="K611" s="3">
        <v>259378</v>
      </c>
      <c r="L611" s="3">
        <v>199729.77</v>
      </c>
      <c r="M611" s="3">
        <v>59648.23</v>
      </c>
    </row>
    <row r="612" spans="1:13" x14ac:dyDescent="0.3">
      <c r="A612" t="s">
        <v>801</v>
      </c>
      <c r="B612" s="4">
        <v>46146</v>
      </c>
      <c r="C612" t="s">
        <v>800</v>
      </c>
      <c r="D612" t="s">
        <v>34</v>
      </c>
      <c r="E612" t="s">
        <v>24</v>
      </c>
      <c r="F612" t="s">
        <v>13</v>
      </c>
      <c r="G612" t="s">
        <v>37</v>
      </c>
      <c r="H612">
        <v>4</v>
      </c>
      <c r="I612" s="3">
        <v>30342</v>
      </c>
      <c r="J612" s="2">
        <v>0.1</v>
      </c>
      <c r="K612" s="3">
        <v>109231.2</v>
      </c>
      <c r="L612" s="3">
        <v>58203.19</v>
      </c>
      <c r="M612" s="3">
        <v>51028.01</v>
      </c>
    </row>
    <row r="613" spans="1:13" x14ac:dyDescent="0.3">
      <c r="A613" t="s">
        <v>799</v>
      </c>
      <c r="B613" s="4">
        <v>45952</v>
      </c>
      <c r="C613" t="s">
        <v>798</v>
      </c>
      <c r="D613" t="s">
        <v>25</v>
      </c>
      <c r="E613" t="s">
        <v>24</v>
      </c>
      <c r="F613" t="s">
        <v>7</v>
      </c>
      <c r="G613" t="s">
        <v>12</v>
      </c>
      <c r="H613">
        <v>12</v>
      </c>
      <c r="I613" s="3">
        <v>68799</v>
      </c>
      <c r="J613" s="2">
        <v>0</v>
      </c>
      <c r="K613" s="3">
        <v>825588</v>
      </c>
      <c r="L613" s="3">
        <v>447999.9</v>
      </c>
      <c r="M613" s="3">
        <v>377588.1</v>
      </c>
    </row>
    <row r="614" spans="1:13" x14ac:dyDescent="0.3">
      <c r="A614" t="s">
        <v>797</v>
      </c>
      <c r="B614" s="4">
        <v>45874</v>
      </c>
      <c r="C614" t="s">
        <v>796</v>
      </c>
      <c r="D614" t="s">
        <v>17</v>
      </c>
      <c r="E614" t="s">
        <v>2</v>
      </c>
      <c r="F614" t="s">
        <v>23</v>
      </c>
      <c r="G614" t="s">
        <v>16</v>
      </c>
      <c r="H614">
        <v>11</v>
      </c>
      <c r="I614" s="3">
        <v>19187</v>
      </c>
      <c r="J614" s="2">
        <v>0.15</v>
      </c>
      <c r="K614" s="3">
        <v>179398.45</v>
      </c>
      <c r="L614" s="3">
        <v>106970.14</v>
      </c>
      <c r="M614" s="3">
        <v>72428.31</v>
      </c>
    </row>
    <row r="615" spans="1:13" x14ac:dyDescent="0.3">
      <c r="A615" t="s">
        <v>795</v>
      </c>
      <c r="B615" s="4">
        <v>45545</v>
      </c>
      <c r="C615" t="s">
        <v>794</v>
      </c>
      <c r="D615" t="s">
        <v>9</v>
      </c>
      <c r="E615" t="s">
        <v>8</v>
      </c>
      <c r="F615" t="s">
        <v>33</v>
      </c>
      <c r="G615" t="s">
        <v>37</v>
      </c>
      <c r="H615">
        <v>10</v>
      </c>
      <c r="I615" s="3">
        <v>5229</v>
      </c>
      <c r="J615" s="2">
        <v>0</v>
      </c>
      <c r="K615" s="3">
        <v>52290</v>
      </c>
      <c r="L615" s="3">
        <v>35988.699999999997</v>
      </c>
      <c r="M615" s="3">
        <v>16301.3</v>
      </c>
    </row>
    <row r="616" spans="1:13" x14ac:dyDescent="0.3">
      <c r="A616" t="s">
        <v>793</v>
      </c>
      <c r="B616" s="4">
        <v>45555</v>
      </c>
      <c r="C616" t="s">
        <v>792</v>
      </c>
      <c r="D616" t="s">
        <v>25</v>
      </c>
      <c r="E616" t="s">
        <v>24</v>
      </c>
      <c r="F616" t="s">
        <v>1</v>
      </c>
      <c r="G616" t="s">
        <v>12</v>
      </c>
      <c r="H616">
        <v>5</v>
      </c>
      <c r="I616" s="3">
        <v>45577</v>
      </c>
      <c r="J616" s="2">
        <v>0.1</v>
      </c>
      <c r="K616" s="3">
        <v>205096.5</v>
      </c>
      <c r="L616" s="3">
        <v>140643.37</v>
      </c>
      <c r="M616" s="3">
        <v>64453.13</v>
      </c>
    </row>
    <row r="617" spans="1:13" x14ac:dyDescent="0.3">
      <c r="A617" t="s">
        <v>791</v>
      </c>
      <c r="B617" s="4">
        <v>45493</v>
      </c>
      <c r="C617" t="s">
        <v>790</v>
      </c>
      <c r="D617" t="s">
        <v>42</v>
      </c>
      <c r="E617" t="s">
        <v>8</v>
      </c>
      <c r="F617" t="s">
        <v>1</v>
      </c>
      <c r="G617" t="s">
        <v>37</v>
      </c>
      <c r="H617">
        <v>5</v>
      </c>
      <c r="I617" s="3">
        <v>71394</v>
      </c>
      <c r="J617" s="2">
        <v>0</v>
      </c>
      <c r="K617" s="3">
        <v>356970</v>
      </c>
      <c r="L617" s="3">
        <v>206344.87</v>
      </c>
      <c r="M617" s="3">
        <v>150625.13</v>
      </c>
    </row>
    <row r="618" spans="1:13" x14ac:dyDescent="0.3">
      <c r="A618" t="s">
        <v>789</v>
      </c>
      <c r="B618" s="4">
        <v>45910</v>
      </c>
      <c r="C618" t="s">
        <v>788</v>
      </c>
      <c r="D618" t="s">
        <v>28</v>
      </c>
      <c r="E618" t="s">
        <v>8</v>
      </c>
      <c r="F618" t="s">
        <v>7</v>
      </c>
      <c r="G618" t="s">
        <v>6</v>
      </c>
      <c r="H618">
        <v>7</v>
      </c>
      <c r="I618" s="3">
        <v>50074</v>
      </c>
      <c r="J618" s="2">
        <v>0</v>
      </c>
      <c r="K618" s="3">
        <v>350518</v>
      </c>
      <c r="L618" s="3">
        <v>292360.75</v>
      </c>
      <c r="M618" s="3">
        <v>58157.25</v>
      </c>
    </row>
    <row r="619" spans="1:13" x14ac:dyDescent="0.3">
      <c r="A619" t="s">
        <v>787</v>
      </c>
      <c r="B619" s="4">
        <v>45965</v>
      </c>
      <c r="C619" t="s">
        <v>786</v>
      </c>
      <c r="D619" t="s">
        <v>53</v>
      </c>
      <c r="E619" t="s">
        <v>2</v>
      </c>
      <c r="F619" t="s">
        <v>13</v>
      </c>
      <c r="G619" t="s">
        <v>16</v>
      </c>
      <c r="H619">
        <v>2</v>
      </c>
      <c r="I619" s="3">
        <v>53447</v>
      </c>
      <c r="J619" s="2">
        <v>0.15</v>
      </c>
      <c r="K619" s="3">
        <v>90859.9</v>
      </c>
      <c r="L619" s="3">
        <v>61714.8</v>
      </c>
      <c r="M619" s="3">
        <v>29145.1</v>
      </c>
    </row>
    <row r="620" spans="1:13" x14ac:dyDescent="0.3">
      <c r="A620" t="s">
        <v>785</v>
      </c>
      <c r="B620" s="4">
        <v>45708</v>
      </c>
      <c r="C620" t="s">
        <v>784</v>
      </c>
      <c r="D620" t="s">
        <v>53</v>
      </c>
      <c r="E620" t="s">
        <v>2</v>
      </c>
      <c r="F620" t="s">
        <v>7</v>
      </c>
      <c r="G620" t="s">
        <v>6</v>
      </c>
      <c r="H620">
        <v>14</v>
      </c>
      <c r="I620" s="3">
        <v>8172</v>
      </c>
      <c r="J620" s="2">
        <v>0.1</v>
      </c>
      <c r="K620" s="3">
        <v>102967.2</v>
      </c>
      <c r="L620" s="3">
        <v>86128.89</v>
      </c>
      <c r="M620" s="3">
        <v>16838.310000000001</v>
      </c>
    </row>
    <row r="621" spans="1:13" x14ac:dyDescent="0.3">
      <c r="A621" t="s">
        <v>783</v>
      </c>
      <c r="B621" s="4">
        <v>46101</v>
      </c>
      <c r="C621" t="s">
        <v>782</v>
      </c>
      <c r="D621" t="s">
        <v>25</v>
      </c>
      <c r="E621" t="s">
        <v>24</v>
      </c>
      <c r="F621" t="s">
        <v>33</v>
      </c>
      <c r="G621" t="s">
        <v>6</v>
      </c>
      <c r="H621">
        <v>11</v>
      </c>
      <c r="I621" s="3">
        <v>63636</v>
      </c>
      <c r="J621" s="2">
        <v>0.2</v>
      </c>
      <c r="K621" s="3">
        <v>559996.80000000005</v>
      </c>
      <c r="L621" s="3">
        <v>306211.93</v>
      </c>
      <c r="M621" s="3">
        <v>253784.87</v>
      </c>
    </row>
    <row r="622" spans="1:13" x14ac:dyDescent="0.3">
      <c r="A622" t="s">
        <v>781</v>
      </c>
      <c r="B622" s="4">
        <v>45783</v>
      </c>
      <c r="C622" t="s">
        <v>780</v>
      </c>
      <c r="D622" t="s">
        <v>9</v>
      </c>
      <c r="E622" t="s">
        <v>8</v>
      </c>
      <c r="F622" t="s">
        <v>23</v>
      </c>
      <c r="G622" t="s">
        <v>16</v>
      </c>
      <c r="H622">
        <v>8</v>
      </c>
      <c r="I622" s="3">
        <v>26000</v>
      </c>
      <c r="J622" s="2">
        <v>0.1</v>
      </c>
      <c r="K622" s="3">
        <v>187200</v>
      </c>
      <c r="L622" s="3">
        <v>133939.67000000001</v>
      </c>
      <c r="M622" s="3">
        <v>53260.33</v>
      </c>
    </row>
    <row r="623" spans="1:13" x14ac:dyDescent="0.3">
      <c r="A623" t="s">
        <v>779</v>
      </c>
      <c r="B623" s="4">
        <v>45741</v>
      </c>
      <c r="C623" t="s">
        <v>778</v>
      </c>
      <c r="D623" t="s">
        <v>17</v>
      </c>
      <c r="E623" t="s">
        <v>2</v>
      </c>
      <c r="F623" t="s">
        <v>13</v>
      </c>
      <c r="G623" t="s">
        <v>37</v>
      </c>
      <c r="H623">
        <v>13</v>
      </c>
      <c r="I623" s="3">
        <v>26455</v>
      </c>
      <c r="J623" s="2">
        <v>0</v>
      </c>
      <c r="K623" s="3">
        <v>343915</v>
      </c>
      <c r="L623" s="3">
        <v>260549.28</v>
      </c>
      <c r="M623" s="3">
        <v>83365.72</v>
      </c>
    </row>
    <row r="624" spans="1:13" x14ac:dyDescent="0.3">
      <c r="A624" t="s">
        <v>777</v>
      </c>
      <c r="B624" s="4">
        <v>45915</v>
      </c>
      <c r="C624" t="s">
        <v>776</v>
      </c>
      <c r="D624" t="s">
        <v>25</v>
      </c>
      <c r="E624" t="s">
        <v>24</v>
      </c>
      <c r="F624" t="s">
        <v>7</v>
      </c>
      <c r="G624" t="s">
        <v>6</v>
      </c>
      <c r="H624">
        <v>13</v>
      </c>
      <c r="I624" s="3">
        <v>26786</v>
      </c>
      <c r="J624" s="2">
        <v>0.1</v>
      </c>
      <c r="K624" s="3">
        <v>313396.2</v>
      </c>
      <c r="L624" s="3">
        <v>178764.56</v>
      </c>
      <c r="M624" s="3">
        <v>134631.64000000001</v>
      </c>
    </row>
    <row r="625" spans="1:13" x14ac:dyDescent="0.3">
      <c r="A625" t="s">
        <v>775</v>
      </c>
      <c r="B625" s="4">
        <v>45889</v>
      </c>
      <c r="C625" t="s">
        <v>774</v>
      </c>
      <c r="D625" t="s">
        <v>53</v>
      </c>
      <c r="E625" t="s">
        <v>2</v>
      </c>
      <c r="F625" t="s">
        <v>33</v>
      </c>
      <c r="G625" t="s">
        <v>37</v>
      </c>
      <c r="H625">
        <v>12</v>
      </c>
      <c r="I625" s="3">
        <v>3067</v>
      </c>
      <c r="J625" s="2">
        <v>0</v>
      </c>
      <c r="K625" s="3">
        <v>36804</v>
      </c>
      <c r="L625" s="3">
        <v>22960.81</v>
      </c>
      <c r="M625" s="3">
        <v>13843.19</v>
      </c>
    </row>
    <row r="626" spans="1:13" x14ac:dyDescent="0.3">
      <c r="A626" t="s">
        <v>773</v>
      </c>
      <c r="B626" s="4">
        <v>46067</v>
      </c>
      <c r="C626" t="s">
        <v>772</v>
      </c>
      <c r="D626" t="s">
        <v>9</v>
      </c>
      <c r="E626" t="s">
        <v>8</v>
      </c>
      <c r="F626" t="s">
        <v>1</v>
      </c>
      <c r="G626" t="s">
        <v>20</v>
      </c>
      <c r="H626">
        <v>12</v>
      </c>
      <c r="I626" s="3">
        <v>71482</v>
      </c>
      <c r="J626" s="2">
        <v>0.1</v>
      </c>
      <c r="K626" s="3">
        <v>772005.6</v>
      </c>
      <c r="L626" s="3">
        <v>536708.9</v>
      </c>
      <c r="M626" s="3">
        <v>235296.7</v>
      </c>
    </row>
    <row r="627" spans="1:13" x14ac:dyDescent="0.3">
      <c r="A627" t="s">
        <v>771</v>
      </c>
      <c r="B627" s="4">
        <v>46122</v>
      </c>
      <c r="C627" t="s">
        <v>770</v>
      </c>
      <c r="D627" t="s">
        <v>28</v>
      </c>
      <c r="E627" t="s">
        <v>8</v>
      </c>
      <c r="F627" t="s">
        <v>1</v>
      </c>
      <c r="G627" t="s">
        <v>6</v>
      </c>
      <c r="H627">
        <v>6</v>
      </c>
      <c r="I627" s="3">
        <v>41074</v>
      </c>
      <c r="J627" s="2">
        <v>0</v>
      </c>
      <c r="K627" s="3">
        <v>246444</v>
      </c>
      <c r="L627" s="3">
        <v>127038.07</v>
      </c>
      <c r="M627" s="3">
        <v>119405.93</v>
      </c>
    </row>
    <row r="628" spans="1:13" x14ac:dyDescent="0.3">
      <c r="A628" t="s">
        <v>769</v>
      </c>
      <c r="B628" s="4">
        <v>45992</v>
      </c>
      <c r="C628" t="s">
        <v>768</v>
      </c>
      <c r="D628" t="s">
        <v>56</v>
      </c>
      <c r="E628" t="s">
        <v>24</v>
      </c>
      <c r="F628" t="s">
        <v>7</v>
      </c>
      <c r="G628" t="s">
        <v>37</v>
      </c>
      <c r="H628">
        <v>15</v>
      </c>
      <c r="I628" s="3">
        <v>4851</v>
      </c>
      <c r="J628" s="2">
        <v>0.15</v>
      </c>
      <c r="K628" s="3">
        <v>61850.25</v>
      </c>
      <c r="L628" s="3">
        <v>47652.56</v>
      </c>
      <c r="M628" s="3">
        <v>14197.69</v>
      </c>
    </row>
    <row r="629" spans="1:13" x14ac:dyDescent="0.3">
      <c r="A629" t="s">
        <v>767</v>
      </c>
      <c r="B629" s="4">
        <v>45986</v>
      </c>
      <c r="C629" t="s">
        <v>766</v>
      </c>
      <c r="D629" t="s">
        <v>17</v>
      </c>
      <c r="E629" t="s">
        <v>2</v>
      </c>
      <c r="F629" t="s">
        <v>7</v>
      </c>
      <c r="G629" t="s">
        <v>0</v>
      </c>
      <c r="H629">
        <v>13</v>
      </c>
      <c r="I629" s="3">
        <v>62769</v>
      </c>
      <c r="J629" s="2">
        <v>0.15</v>
      </c>
      <c r="K629" s="3">
        <v>693597.45</v>
      </c>
      <c r="L629" s="3">
        <v>587268.85</v>
      </c>
      <c r="M629" s="3">
        <v>106328.6</v>
      </c>
    </row>
    <row r="630" spans="1:13" x14ac:dyDescent="0.3">
      <c r="A630" t="s">
        <v>765</v>
      </c>
      <c r="B630" s="4">
        <v>45712</v>
      </c>
      <c r="C630" t="s">
        <v>764</v>
      </c>
      <c r="D630" t="s">
        <v>25</v>
      </c>
      <c r="E630" t="s">
        <v>24</v>
      </c>
      <c r="F630" t="s">
        <v>13</v>
      </c>
      <c r="G630" t="s">
        <v>16</v>
      </c>
      <c r="H630">
        <v>14</v>
      </c>
      <c r="I630" s="3">
        <v>15269</v>
      </c>
      <c r="J630" s="2">
        <v>0.2</v>
      </c>
      <c r="K630" s="3">
        <v>171012.8</v>
      </c>
      <c r="L630" s="3">
        <v>119229.37</v>
      </c>
      <c r="M630" s="3">
        <v>51783.43</v>
      </c>
    </row>
    <row r="631" spans="1:13" x14ac:dyDescent="0.3">
      <c r="A631" t="s">
        <v>763</v>
      </c>
      <c r="B631" s="4">
        <v>45741</v>
      </c>
      <c r="C631" t="s">
        <v>762</v>
      </c>
      <c r="D631" t="s">
        <v>17</v>
      </c>
      <c r="E631" t="s">
        <v>2</v>
      </c>
      <c r="F631" t="s">
        <v>13</v>
      </c>
      <c r="G631" t="s">
        <v>16</v>
      </c>
      <c r="H631">
        <v>5</v>
      </c>
      <c r="I631" s="3">
        <v>3781</v>
      </c>
      <c r="J631" s="2">
        <v>0.05</v>
      </c>
      <c r="K631" s="3">
        <v>17959.75</v>
      </c>
      <c r="L631" s="3">
        <v>13444.22</v>
      </c>
      <c r="M631" s="3">
        <v>4515.53</v>
      </c>
    </row>
    <row r="632" spans="1:13" x14ac:dyDescent="0.3">
      <c r="A632" t="s">
        <v>761</v>
      </c>
      <c r="B632" s="4">
        <v>45733</v>
      </c>
      <c r="C632" t="s">
        <v>760</v>
      </c>
      <c r="D632" t="s">
        <v>9</v>
      </c>
      <c r="E632" t="s">
        <v>8</v>
      </c>
      <c r="F632" t="s">
        <v>23</v>
      </c>
      <c r="G632" t="s">
        <v>37</v>
      </c>
      <c r="H632">
        <v>7</v>
      </c>
      <c r="I632" s="3">
        <v>22096</v>
      </c>
      <c r="J632" s="2">
        <v>0.15</v>
      </c>
      <c r="K632" s="3">
        <v>131471.20000000001</v>
      </c>
      <c r="L632" s="3">
        <v>71893.759999999995</v>
      </c>
      <c r="M632" s="3">
        <v>59577.440000000002</v>
      </c>
    </row>
    <row r="633" spans="1:13" x14ac:dyDescent="0.3">
      <c r="A633" t="s">
        <v>759</v>
      </c>
      <c r="B633" s="4">
        <v>45761</v>
      </c>
      <c r="C633" t="s">
        <v>758</v>
      </c>
      <c r="D633" t="s">
        <v>53</v>
      </c>
      <c r="E633" t="s">
        <v>2</v>
      </c>
      <c r="F633" t="s">
        <v>23</v>
      </c>
      <c r="G633" t="s">
        <v>16</v>
      </c>
      <c r="H633">
        <v>10</v>
      </c>
      <c r="I633" s="3">
        <v>70634</v>
      </c>
      <c r="J633" s="2">
        <v>0.15</v>
      </c>
      <c r="K633" s="3">
        <v>600389</v>
      </c>
      <c r="L633" s="3">
        <v>305994.94</v>
      </c>
      <c r="M633" s="3">
        <v>294394.06</v>
      </c>
    </row>
    <row r="634" spans="1:13" x14ac:dyDescent="0.3">
      <c r="A634" t="s">
        <v>757</v>
      </c>
      <c r="B634" s="4">
        <v>45582</v>
      </c>
      <c r="C634" t="s">
        <v>756</v>
      </c>
      <c r="D634" t="s">
        <v>3</v>
      </c>
      <c r="E634" t="s">
        <v>2</v>
      </c>
      <c r="F634" t="s">
        <v>7</v>
      </c>
      <c r="G634" t="s">
        <v>20</v>
      </c>
      <c r="H634">
        <v>15</v>
      </c>
      <c r="I634" s="3">
        <v>71016</v>
      </c>
      <c r="J634" s="2">
        <v>0</v>
      </c>
      <c r="K634" s="3">
        <v>1065240</v>
      </c>
      <c r="L634" s="3">
        <v>852704.64</v>
      </c>
      <c r="M634" s="3">
        <v>212535.36</v>
      </c>
    </row>
    <row r="635" spans="1:13" x14ac:dyDescent="0.3">
      <c r="A635" t="s">
        <v>755</v>
      </c>
      <c r="B635" s="4">
        <v>45650</v>
      </c>
      <c r="C635" t="s">
        <v>754</v>
      </c>
      <c r="D635" t="s">
        <v>28</v>
      </c>
      <c r="E635" t="s">
        <v>8</v>
      </c>
      <c r="F635" t="s">
        <v>7</v>
      </c>
      <c r="G635" t="s">
        <v>16</v>
      </c>
      <c r="H635">
        <v>8</v>
      </c>
      <c r="I635" s="3">
        <v>27964</v>
      </c>
      <c r="J635" s="2">
        <v>0</v>
      </c>
      <c r="K635" s="3">
        <v>223712</v>
      </c>
      <c r="L635" s="3">
        <v>130915.01</v>
      </c>
      <c r="M635" s="3">
        <v>92796.99</v>
      </c>
    </row>
    <row r="636" spans="1:13" x14ac:dyDescent="0.3">
      <c r="A636" t="s">
        <v>753</v>
      </c>
      <c r="B636" s="4">
        <v>45982</v>
      </c>
      <c r="C636" t="s">
        <v>752</v>
      </c>
      <c r="D636" t="s">
        <v>3</v>
      </c>
      <c r="E636" t="s">
        <v>2</v>
      </c>
      <c r="F636" t="s">
        <v>13</v>
      </c>
      <c r="G636" t="s">
        <v>20</v>
      </c>
      <c r="H636">
        <v>10</v>
      </c>
      <c r="I636" s="3">
        <v>17546</v>
      </c>
      <c r="J636" s="2">
        <v>0.05</v>
      </c>
      <c r="K636" s="3">
        <v>166687</v>
      </c>
      <c r="L636" s="3">
        <v>109015.45</v>
      </c>
      <c r="M636" s="3">
        <v>57671.55</v>
      </c>
    </row>
    <row r="637" spans="1:13" x14ac:dyDescent="0.3">
      <c r="A637" t="s">
        <v>751</v>
      </c>
      <c r="B637" s="4">
        <v>46045</v>
      </c>
      <c r="C637" t="s">
        <v>750</v>
      </c>
      <c r="D637" t="s">
        <v>9</v>
      </c>
      <c r="E637" t="s">
        <v>8</v>
      </c>
      <c r="F637" t="s">
        <v>23</v>
      </c>
      <c r="G637" t="s">
        <v>16</v>
      </c>
      <c r="H637">
        <v>12</v>
      </c>
      <c r="I637" s="3">
        <v>58623</v>
      </c>
      <c r="J637" s="2">
        <v>0</v>
      </c>
      <c r="K637" s="3">
        <v>703476</v>
      </c>
      <c r="L637" s="3">
        <v>492120.92</v>
      </c>
      <c r="M637" s="3">
        <v>211355.08</v>
      </c>
    </row>
    <row r="638" spans="1:13" x14ac:dyDescent="0.3">
      <c r="A638" t="s">
        <v>749</v>
      </c>
      <c r="B638" s="4">
        <v>46059</v>
      </c>
      <c r="C638" t="s">
        <v>748</v>
      </c>
      <c r="D638" t="s">
        <v>17</v>
      </c>
      <c r="E638" t="s">
        <v>2</v>
      </c>
      <c r="F638" t="s">
        <v>33</v>
      </c>
      <c r="G638" t="s">
        <v>20</v>
      </c>
      <c r="H638">
        <v>11</v>
      </c>
      <c r="I638" s="3">
        <v>32429</v>
      </c>
      <c r="J638" s="2">
        <v>0.15</v>
      </c>
      <c r="K638" s="3">
        <v>303211.15000000002</v>
      </c>
      <c r="L638" s="3">
        <v>225046.73</v>
      </c>
      <c r="M638" s="3">
        <v>78164.42</v>
      </c>
    </row>
    <row r="639" spans="1:13" x14ac:dyDescent="0.3">
      <c r="A639" t="s">
        <v>747</v>
      </c>
      <c r="B639" s="4">
        <v>45748</v>
      </c>
      <c r="C639" t="s">
        <v>746</v>
      </c>
      <c r="D639" t="s">
        <v>3</v>
      </c>
      <c r="E639" t="s">
        <v>2</v>
      </c>
      <c r="F639" t="s">
        <v>1</v>
      </c>
      <c r="G639" t="s">
        <v>12</v>
      </c>
      <c r="H639">
        <v>15</v>
      </c>
      <c r="I639" s="3">
        <v>66270</v>
      </c>
      <c r="J639" s="2">
        <v>0.2</v>
      </c>
      <c r="K639" s="3">
        <v>795240</v>
      </c>
      <c r="L639" s="3">
        <v>503858.44</v>
      </c>
      <c r="M639" s="3">
        <v>291381.56</v>
      </c>
    </row>
    <row r="640" spans="1:13" x14ac:dyDescent="0.3">
      <c r="A640" t="s">
        <v>745</v>
      </c>
      <c r="B640" s="4">
        <v>45803</v>
      </c>
      <c r="C640" t="s">
        <v>744</v>
      </c>
      <c r="D640" t="s">
        <v>17</v>
      </c>
      <c r="E640" t="s">
        <v>2</v>
      </c>
      <c r="F640" t="s">
        <v>1</v>
      </c>
      <c r="G640" t="s">
        <v>37</v>
      </c>
      <c r="H640">
        <v>10</v>
      </c>
      <c r="I640" s="3">
        <v>30383</v>
      </c>
      <c r="J640" s="2">
        <v>0</v>
      </c>
      <c r="K640" s="3">
        <v>303830</v>
      </c>
      <c r="L640" s="3">
        <v>177715.55</v>
      </c>
      <c r="M640" s="3">
        <v>126114.45</v>
      </c>
    </row>
    <row r="641" spans="1:13" x14ac:dyDescent="0.3">
      <c r="A641" t="s">
        <v>743</v>
      </c>
      <c r="B641" s="4">
        <v>45535</v>
      </c>
      <c r="C641" t="s">
        <v>742</v>
      </c>
      <c r="D641" t="s">
        <v>17</v>
      </c>
      <c r="E641" t="s">
        <v>2</v>
      </c>
      <c r="F641" t="s">
        <v>1</v>
      </c>
      <c r="G641" t="s">
        <v>6</v>
      </c>
      <c r="H641">
        <v>1</v>
      </c>
      <c r="I641" s="3">
        <v>53688</v>
      </c>
      <c r="J641" s="2">
        <v>0.05</v>
      </c>
      <c r="K641" s="3">
        <v>51003.6</v>
      </c>
      <c r="L641" s="3">
        <v>42302.83</v>
      </c>
      <c r="M641" s="3">
        <v>8700.77</v>
      </c>
    </row>
    <row r="642" spans="1:13" x14ac:dyDescent="0.3">
      <c r="A642" t="s">
        <v>741</v>
      </c>
      <c r="B642" s="4">
        <v>45776</v>
      </c>
      <c r="C642" t="s">
        <v>740</v>
      </c>
      <c r="D642" t="s">
        <v>53</v>
      </c>
      <c r="E642" t="s">
        <v>2</v>
      </c>
      <c r="F642" t="s">
        <v>33</v>
      </c>
      <c r="G642" t="s">
        <v>37</v>
      </c>
      <c r="H642">
        <v>11</v>
      </c>
      <c r="I642" s="3">
        <v>55229</v>
      </c>
      <c r="J642" s="2">
        <v>0.1</v>
      </c>
      <c r="K642" s="3">
        <v>546767.1</v>
      </c>
      <c r="L642" s="3">
        <v>281291.53000000003</v>
      </c>
      <c r="M642" s="3">
        <v>265475.57</v>
      </c>
    </row>
    <row r="643" spans="1:13" x14ac:dyDescent="0.3">
      <c r="A643" t="s">
        <v>739</v>
      </c>
      <c r="B643" s="4">
        <v>45906</v>
      </c>
      <c r="C643" t="s">
        <v>738</v>
      </c>
      <c r="D643" t="s">
        <v>25</v>
      </c>
      <c r="E643" t="s">
        <v>24</v>
      </c>
      <c r="F643" t="s">
        <v>13</v>
      </c>
      <c r="G643" t="s">
        <v>12</v>
      </c>
      <c r="H643">
        <v>13</v>
      </c>
      <c r="I643" s="3">
        <v>13658</v>
      </c>
      <c r="J643" s="2">
        <v>0.05</v>
      </c>
      <c r="K643" s="3">
        <v>168676.3</v>
      </c>
      <c r="L643" s="3">
        <v>92795.34</v>
      </c>
      <c r="M643" s="3">
        <v>75880.960000000006</v>
      </c>
    </row>
    <row r="644" spans="1:13" x14ac:dyDescent="0.3">
      <c r="A644" t="s">
        <v>737</v>
      </c>
      <c r="B644" s="4">
        <v>45960</v>
      </c>
      <c r="C644" t="s">
        <v>736</v>
      </c>
      <c r="D644" t="s">
        <v>9</v>
      </c>
      <c r="E644" t="s">
        <v>8</v>
      </c>
      <c r="F644" t="s">
        <v>33</v>
      </c>
      <c r="G644" t="s">
        <v>37</v>
      </c>
      <c r="H644">
        <v>6</v>
      </c>
      <c r="I644" s="3">
        <v>14866</v>
      </c>
      <c r="J644" s="2">
        <v>0.2</v>
      </c>
      <c r="K644" s="3">
        <v>71356.800000000003</v>
      </c>
      <c r="L644" s="3">
        <v>55332.45</v>
      </c>
      <c r="M644" s="3">
        <v>16024.35</v>
      </c>
    </row>
    <row r="645" spans="1:13" x14ac:dyDescent="0.3">
      <c r="A645" t="s">
        <v>735</v>
      </c>
      <c r="B645" s="4">
        <v>46033</v>
      </c>
      <c r="C645" t="s">
        <v>734</v>
      </c>
      <c r="D645" t="s">
        <v>3</v>
      </c>
      <c r="E645" t="s">
        <v>2</v>
      </c>
      <c r="F645" t="s">
        <v>13</v>
      </c>
      <c r="G645" t="s">
        <v>20</v>
      </c>
      <c r="H645">
        <v>9</v>
      </c>
      <c r="I645" s="3">
        <v>12222</v>
      </c>
      <c r="J645" s="2">
        <v>0.2</v>
      </c>
      <c r="K645" s="3">
        <v>87998.399999999994</v>
      </c>
      <c r="L645" s="3">
        <v>61296.9</v>
      </c>
      <c r="M645" s="3">
        <v>26701.5</v>
      </c>
    </row>
    <row r="646" spans="1:13" x14ac:dyDescent="0.3">
      <c r="A646" t="s">
        <v>733</v>
      </c>
      <c r="B646" s="4">
        <v>45546</v>
      </c>
      <c r="C646" t="s">
        <v>732</v>
      </c>
      <c r="D646" t="s">
        <v>42</v>
      </c>
      <c r="E646" t="s">
        <v>8</v>
      </c>
      <c r="F646" t="s">
        <v>33</v>
      </c>
      <c r="G646" t="s">
        <v>16</v>
      </c>
      <c r="H646">
        <v>12</v>
      </c>
      <c r="I646" s="3">
        <v>8109</v>
      </c>
      <c r="J646" s="2">
        <v>0.2</v>
      </c>
      <c r="K646" s="3">
        <v>77846.399999999994</v>
      </c>
      <c r="L646" s="3">
        <v>55681.919999999998</v>
      </c>
      <c r="M646" s="3">
        <v>22164.48</v>
      </c>
    </row>
    <row r="647" spans="1:13" x14ac:dyDescent="0.3">
      <c r="A647" t="s">
        <v>731</v>
      </c>
      <c r="B647" s="4">
        <v>45571</v>
      </c>
      <c r="C647" t="s">
        <v>730</v>
      </c>
      <c r="D647" t="s">
        <v>42</v>
      </c>
      <c r="E647" t="s">
        <v>8</v>
      </c>
      <c r="F647" t="s">
        <v>13</v>
      </c>
      <c r="G647" t="s">
        <v>16</v>
      </c>
      <c r="H647">
        <v>9</v>
      </c>
      <c r="I647" s="3">
        <v>28332</v>
      </c>
      <c r="J647" s="2">
        <v>0</v>
      </c>
      <c r="K647" s="3">
        <v>254988</v>
      </c>
      <c r="L647" s="3">
        <v>144215.84</v>
      </c>
      <c r="M647" s="3">
        <v>110772.16</v>
      </c>
    </row>
    <row r="648" spans="1:13" x14ac:dyDescent="0.3">
      <c r="A648" t="s">
        <v>729</v>
      </c>
      <c r="B648" s="4">
        <v>46126</v>
      </c>
      <c r="C648" t="s">
        <v>728</v>
      </c>
      <c r="D648" t="s">
        <v>3</v>
      </c>
      <c r="E648" t="s">
        <v>2</v>
      </c>
      <c r="F648" t="s">
        <v>13</v>
      </c>
      <c r="G648" t="s">
        <v>37</v>
      </c>
      <c r="H648">
        <v>12</v>
      </c>
      <c r="I648" s="3">
        <v>28149</v>
      </c>
      <c r="J648" s="2">
        <v>0.15</v>
      </c>
      <c r="K648" s="3">
        <v>287119.8</v>
      </c>
      <c r="L648" s="3">
        <v>242374.21</v>
      </c>
      <c r="M648" s="3">
        <v>44745.59</v>
      </c>
    </row>
    <row r="649" spans="1:13" x14ac:dyDescent="0.3">
      <c r="A649" t="s">
        <v>727</v>
      </c>
      <c r="B649" s="4">
        <v>45822</v>
      </c>
      <c r="C649" t="s">
        <v>726</v>
      </c>
      <c r="D649" t="s">
        <v>9</v>
      </c>
      <c r="E649" t="s">
        <v>8</v>
      </c>
      <c r="F649" t="s">
        <v>23</v>
      </c>
      <c r="G649" t="s">
        <v>37</v>
      </c>
      <c r="H649">
        <v>6</v>
      </c>
      <c r="I649" s="3">
        <v>13324</v>
      </c>
      <c r="J649" s="2">
        <v>0</v>
      </c>
      <c r="K649" s="3">
        <v>79944</v>
      </c>
      <c r="L649" s="3">
        <v>60402.54</v>
      </c>
      <c r="M649" s="3">
        <v>19541.46</v>
      </c>
    </row>
    <row r="650" spans="1:13" x14ac:dyDescent="0.3">
      <c r="A650" t="s">
        <v>725</v>
      </c>
      <c r="B650" s="4">
        <v>45502</v>
      </c>
      <c r="C650" t="s">
        <v>724</v>
      </c>
      <c r="D650" t="s">
        <v>56</v>
      </c>
      <c r="E650" t="s">
        <v>24</v>
      </c>
      <c r="F650" t="s">
        <v>13</v>
      </c>
      <c r="G650" t="s">
        <v>20</v>
      </c>
      <c r="H650">
        <v>5</v>
      </c>
      <c r="I650" s="3">
        <v>41528</v>
      </c>
      <c r="J650" s="2">
        <v>0.1</v>
      </c>
      <c r="K650" s="3">
        <v>186876</v>
      </c>
      <c r="L650" s="3">
        <v>103106.6</v>
      </c>
      <c r="M650" s="3">
        <v>83769.399999999994</v>
      </c>
    </row>
    <row r="651" spans="1:13" x14ac:dyDescent="0.3">
      <c r="A651" t="s">
        <v>723</v>
      </c>
      <c r="B651" s="4">
        <v>45653</v>
      </c>
      <c r="C651" t="s">
        <v>722</v>
      </c>
      <c r="D651" t="s">
        <v>25</v>
      </c>
      <c r="E651" t="s">
        <v>24</v>
      </c>
      <c r="F651" t="s">
        <v>13</v>
      </c>
      <c r="G651" t="s">
        <v>12</v>
      </c>
      <c r="H651">
        <v>1</v>
      </c>
      <c r="I651" s="3">
        <v>11335</v>
      </c>
      <c r="J651" s="2">
        <v>0</v>
      </c>
      <c r="K651" s="3">
        <v>11335</v>
      </c>
      <c r="L651" s="3">
        <v>5840.27</v>
      </c>
      <c r="M651" s="3">
        <v>5494.73</v>
      </c>
    </row>
    <row r="652" spans="1:13" x14ac:dyDescent="0.3">
      <c r="A652" t="s">
        <v>721</v>
      </c>
      <c r="B652" s="4">
        <v>45921</v>
      </c>
      <c r="C652" t="s">
        <v>720</v>
      </c>
      <c r="D652" t="s">
        <v>28</v>
      </c>
      <c r="E652" t="s">
        <v>8</v>
      </c>
      <c r="F652" t="s">
        <v>1</v>
      </c>
      <c r="G652" t="s">
        <v>6</v>
      </c>
      <c r="H652">
        <v>8</v>
      </c>
      <c r="I652" s="3">
        <v>54397</v>
      </c>
      <c r="J652" s="2">
        <v>0.2</v>
      </c>
      <c r="K652" s="3">
        <v>348140.79999999999</v>
      </c>
      <c r="L652" s="3">
        <v>244074.26</v>
      </c>
      <c r="M652" s="3">
        <v>104066.54</v>
      </c>
    </row>
    <row r="653" spans="1:13" x14ac:dyDescent="0.3">
      <c r="A653" t="s">
        <v>719</v>
      </c>
      <c r="B653" s="4">
        <v>45648</v>
      </c>
      <c r="C653" t="s">
        <v>718</v>
      </c>
      <c r="D653" t="s">
        <v>3</v>
      </c>
      <c r="E653" t="s">
        <v>2</v>
      </c>
      <c r="F653" t="s">
        <v>1</v>
      </c>
      <c r="G653" t="s">
        <v>16</v>
      </c>
      <c r="H653">
        <v>14</v>
      </c>
      <c r="I653" s="3">
        <v>8720</v>
      </c>
      <c r="J653" s="2">
        <v>0</v>
      </c>
      <c r="K653" s="3">
        <v>122080</v>
      </c>
      <c r="L653" s="3">
        <v>89673.02</v>
      </c>
      <c r="M653" s="3">
        <v>32406.98</v>
      </c>
    </row>
    <row r="654" spans="1:13" x14ac:dyDescent="0.3">
      <c r="A654" t="s">
        <v>717</v>
      </c>
      <c r="B654" s="4">
        <v>45970</v>
      </c>
      <c r="C654" t="s">
        <v>716</v>
      </c>
      <c r="D654" t="s">
        <v>3</v>
      </c>
      <c r="E654" t="s">
        <v>2</v>
      </c>
      <c r="F654" t="s">
        <v>1</v>
      </c>
      <c r="G654" t="s">
        <v>0</v>
      </c>
      <c r="H654">
        <v>10</v>
      </c>
      <c r="I654" s="3">
        <v>39452</v>
      </c>
      <c r="J654" s="2">
        <v>0.15</v>
      </c>
      <c r="K654" s="3">
        <v>335342</v>
      </c>
      <c r="L654" s="3">
        <v>197654.56</v>
      </c>
      <c r="M654" s="3">
        <v>137687.44</v>
      </c>
    </row>
    <row r="655" spans="1:13" x14ac:dyDescent="0.3">
      <c r="A655" t="s">
        <v>715</v>
      </c>
      <c r="B655" s="4">
        <v>45977</v>
      </c>
      <c r="C655" t="s">
        <v>714</v>
      </c>
      <c r="D655" t="s">
        <v>56</v>
      </c>
      <c r="E655" t="s">
        <v>24</v>
      </c>
      <c r="F655" t="s">
        <v>33</v>
      </c>
      <c r="G655" t="s">
        <v>12</v>
      </c>
      <c r="H655">
        <v>1</v>
      </c>
      <c r="I655" s="3">
        <v>43521</v>
      </c>
      <c r="J655" s="2">
        <v>0.15</v>
      </c>
      <c r="K655" s="3">
        <v>36992.85</v>
      </c>
      <c r="L655" s="3">
        <v>19722.78</v>
      </c>
      <c r="M655" s="3">
        <v>17270.07</v>
      </c>
    </row>
    <row r="656" spans="1:13" x14ac:dyDescent="0.3">
      <c r="A656" t="s">
        <v>713</v>
      </c>
      <c r="B656" s="4">
        <v>46137</v>
      </c>
      <c r="C656" t="s">
        <v>712</v>
      </c>
      <c r="D656" t="s">
        <v>9</v>
      </c>
      <c r="E656" t="s">
        <v>8</v>
      </c>
      <c r="F656" t="s">
        <v>7</v>
      </c>
      <c r="G656" t="s">
        <v>0</v>
      </c>
      <c r="H656">
        <v>15</v>
      </c>
      <c r="I656" s="3">
        <v>63038</v>
      </c>
      <c r="J656" s="2">
        <v>0.2</v>
      </c>
      <c r="K656" s="3">
        <v>756456</v>
      </c>
      <c r="L656" s="3">
        <v>599785.11</v>
      </c>
      <c r="M656" s="3">
        <v>156670.89000000001</v>
      </c>
    </row>
    <row r="657" spans="1:13" x14ac:dyDescent="0.3">
      <c r="A657" t="s">
        <v>711</v>
      </c>
      <c r="B657" s="4">
        <v>46142</v>
      </c>
      <c r="C657" t="s">
        <v>710</v>
      </c>
      <c r="D657" t="s">
        <v>3</v>
      </c>
      <c r="E657" t="s">
        <v>2</v>
      </c>
      <c r="F657" t="s">
        <v>13</v>
      </c>
      <c r="G657" t="s">
        <v>0</v>
      </c>
      <c r="H657">
        <v>7</v>
      </c>
      <c r="I657" s="3">
        <v>71495</v>
      </c>
      <c r="J657" s="2">
        <v>0</v>
      </c>
      <c r="K657" s="3">
        <v>500465</v>
      </c>
      <c r="L657" s="3">
        <v>309912.69</v>
      </c>
      <c r="M657" s="3">
        <v>190552.31</v>
      </c>
    </row>
    <row r="658" spans="1:13" x14ac:dyDescent="0.3">
      <c r="A658" t="s">
        <v>709</v>
      </c>
      <c r="B658" s="4">
        <v>45748</v>
      </c>
      <c r="C658" t="s">
        <v>708</v>
      </c>
      <c r="D658" t="s">
        <v>25</v>
      </c>
      <c r="E658" t="s">
        <v>24</v>
      </c>
      <c r="F658" t="s">
        <v>13</v>
      </c>
      <c r="G658" t="s">
        <v>12</v>
      </c>
      <c r="H658">
        <v>13</v>
      </c>
      <c r="I658" s="3">
        <v>32297</v>
      </c>
      <c r="J658" s="2">
        <v>0.1</v>
      </c>
      <c r="K658" s="3">
        <v>377874.9</v>
      </c>
      <c r="L658" s="3">
        <v>294028.12</v>
      </c>
      <c r="M658" s="3">
        <v>83846.78</v>
      </c>
    </row>
    <row r="659" spans="1:13" x14ac:dyDescent="0.3">
      <c r="A659" t="s">
        <v>707</v>
      </c>
      <c r="B659" s="4">
        <v>45669</v>
      </c>
      <c r="C659" t="s">
        <v>706</v>
      </c>
      <c r="D659" t="s">
        <v>3</v>
      </c>
      <c r="E659" t="s">
        <v>2</v>
      </c>
      <c r="F659" t="s">
        <v>7</v>
      </c>
      <c r="G659" t="s">
        <v>37</v>
      </c>
      <c r="H659">
        <v>14</v>
      </c>
      <c r="I659" s="3">
        <v>42113</v>
      </c>
      <c r="J659" s="2">
        <v>0.15</v>
      </c>
      <c r="K659" s="3">
        <v>501144.7</v>
      </c>
      <c r="L659" s="3">
        <v>360544.55</v>
      </c>
      <c r="M659" s="3">
        <v>140600.15</v>
      </c>
    </row>
    <row r="660" spans="1:13" x14ac:dyDescent="0.3">
      <c r="A660" t="s">
        <v>705</v>
      </c>
      <c r="B660" s="4">
        <v>45922</v>
      </c>
      <c r="C660" t="s">
        <v>704</v>
      </c>
      <c r="D660" t="s">
        <v>42</v>
      </c>
      <c r="E660" t="s">
        <v>8</v>
      </c>
      <c r="F660" t="s">
        <v>13</v>
      </c>
      <c r="G660" t="s">
        <v>12</v>
      </c>
      <c r="H660">
        <v>8</v>
      </c>
      <c r="I660" s="3">
        <v>22117</v>
      </c>
      <c r="J660" s="2">
        <v>0.05</v>
      </c>
      <c r="K660" s="3">
        <v>168089.2</v>
      </c>
      <c r="L660" s="3">
        <v>115279.18</v>
      </c>
      <c r="M660" s="3">
        <v>52810.02</v>
      </c>
    </row>
    <row r="661" spans="1:13" x14ac:dyDescent="0.3">
      <c r="A661" t="s">
        <v>703</v>
      </c>
      <c r="B661" s="4">
        <v>45876</v>
      </c>
      <c r="C661" t="s">
        <v>702</v>
      </c>
      <c r="D661" t="s">
        <v>34</v>
      </c>
      <c r="E661" t="s">
        <v>24</v>
      </c>
      <c r="F661" t="s">
        <v>23</v>
      </c>
      <c r="G661" t="s">
        <v>6</v>
      </c>
      <c r="H661">
        <v>12</v>
      </c>
      <c r="I661" s="3">
        <v>12749</v>
      </c>
      <c r="J661" s="2">
        <v>0.05</v>
      </c>
      <c r="K661" s="3">
        <v>145338.6</v>
      </c>
      <c r="L661" s="3">
        <v>83761.69</v>
      </c>
      <c r="M661" s="3">
        <v>61576.91</v>
      </c>
    </row>
    <row r="662" spans="1:13" x14ac:dyDescent="0.3">
      <c r="A662" t="s">
        <v>701</v>
      </c>
      <c r="B662" s="4">
        <v>46160</v>
      </c>
      <c r="C662" t="s">
        <v>700</v>
      </c>
      <c r="D662" t="s">
        <v>56</v>
      </c>
      <c r="E662" t="s">
        <v>24</v>
      </c>
      <c r="F662" t="s">
        <v>13</v>
      </c>
      <c r="G662" t="s">
        <v>6</v>
      </c>
      <c r="H662">
        <v>12</v>
      </c>
      <c r="I662" s="3">
        <v>16509</v>
      </c>
      <c r="J662" s="2">
        <v>0.05</v>
      </c>
      <c r="K662" s="3">
        <v>188202.6</v>
      </c>
      <c r="L662" s="3">
        <v>134322.19</v>
      </c>
      <c r="M662" s="3">
        <v>53880.41</v>
      </c>
    </row>
    <row r="663" spans="1:13" x14ac:dyDescent="0.3">
      <c r="A663" t="s">
        <v>699</v>
      </c>
      <c r="B663" s="4">
        <v>45656</v>
      </c>
      <c r="C663" t="s">
        <v>698</v>
      </c>
      <c r="D663" t="s">
        <v>53</v>
      </c>
      <c r="E663" t="s">
        <v>2</v>
      </c>
      <c r="F663" t="s">
        <v>7</v>
      </c>
      <c r="G663" t="s">
        <v>37</v>
      </c>
      <c r="H663">
        <v>12</v>
      </c>
      <c r="I663" s="3">
        <v>38264</v>
      </c>
      <c r="J663" s="2">
        <v>0.15</v>
      </c>
      <c r="K663" s="3">
        <v>390292.8</v>
      </c>
      <c r="L663" s="3">
        <v>229090.71</v>
      </c>
      <c r="M663" s="3">
        <v>161202.09</v>
      </c>
    </row>
    <row r="664" spans="1:13" x14ac:dyDescent="0.3">
      <c r="A664" t="s">
        <v>697</v>
      </c>
      <c r="B664" s="4">
        <v>45974</v>
      </c>
      <c r="C664" t="s">
        <v>696</v>
      </c>
      <c r="D664" t="s">
        <v>53</v>
      </c>
      <c r="E664" t="s">
        <v>2</v>
      </c>
      <c r="F664" t="s">
        <v>13</v>
      </c>
      <c r="G664" t="s">
        <v>12</v>
      </c>
      <c r="H664">
        <v>14</v>
      </c>
      <c r="I664" s="3">
        <v>28422</v>
      </c>
      <c r="J664" s="2">
        <v>0.1</v>
      </c>
      <c r="K664" s="3">
        <v>358117.2</v>
      </c>
      <c r="L664" s="3">
        <v>256554.74</v>
      </c>
      <c r="M664" s="3">
        <v>101562.46</v>
      </c>
    </row>
    <row r="665" spans="1:13" x14ac:dyDescent="0.3">
      <c r="A665" t="s">
        <v>695</v>
      </c>
      <c r="B665" s="4">
        <v>46048</v>
      </c>
      <c r="C665" t="s">
        <v>694</v>
      </c>
      <c r="D665" t="s">
        <v>42</v>
      </c>
      <c r="E665" t="s">
        <v>8</v>
      </c>
      <c r="F665" t="s">
        <v>23</v>
      </c>
      <c r="G665" t="s">
        <v>6</v>
      </c>
      <c r="H665">
        <v>10</v>
      </c>
      <c r="I665" s="3">
        <v>9903</v>
      </c>
      <c r="J665" s="2">
        <v>0.15</v>
      </c>
      <c r="K665" s="3">
        <v>84175.5</v>
      </c>
      <c r="L665" s="3">
        <v>51041.08</v>
      </c>
      <c r="M665" s="3">
        <v>33134.42</v>
      </c>
    </row>
    <row r="666" spans="1:13" x14ac:dyDescent="0.3">
      <c r="A666" t="s">
        <v>693</v>
      </c>
      <c r="B666" s="4">
        <v>46143</v>
      </c>
      <c r="C666" t="s">
        <v>692</v>
      </c>
      <c r="D666" t="s">
        <v>53</v>
      </c>
      <c r="E666" t="s">
        <v>2</v>
      </c>
      <c r="F666" t="s">
        <v>13</v>
      </c>
      <c r="G666" t="s">
        <v>37</v>
      </c>
      <c r="H666">
        <v>1</v>
      </c>
      <c r="I666" s="3">
        <v>10627</v>
      </c>
      <c r="J666" s="2">
        <v>0.1</v>
      </c>
      <c r="K666" s="3">
        <v>9564.2999999999993</v>
      </c>
      <c r="L666" s="3">
        <v>5031.4799999999996</v>
      </c>
      <c r="M666" s="3">
        <v>4532.82</v>
      </c>
    </row>
    <row r="667" spans="1:13" x14ac:dyDescent="0.3">
      <c r="A667" t="s">
        <v>691</v>
      </c>
      <c r="B667" s="4">
        <v>46014</v>
      </c>
      <c r="C667" t="s">
        <v>690</v>
      </c>
      <c r="D667" t="s">
        <v>28</v>
      </c>
      <c r="E667" t="s">
        <v>8</v>
      </c>
      <c r="F667" t="s">
        <v>33</v>
      </c>
      <c r="G667" t="s">
        <v>12</v>
      </c>
      <c r="H667">
        <v>11</v>
      </c>
      <c r="I667" s="3">
        <v>67882</v>
      </c>
      <c r="J667" s="2">
        <v>0.1</v>
      </c>
      <c r="K667" s="3">
        <v>672031.8</v>
      </c>
      <c r="L667" s="3">
        <v>552577.22</v>
      </c>
      <c r="M667" s="3">
        <v>119454.58</v>
      </c>
    </row>
    <row r="668" spans="1:13" x14ac:dyDescent="0.3">
      <c r="A668" t="s">
        <v>689</v>
      </c>
      <c r="B668" s="4">
        <v>45705</v>
      </c>
      <c r="C668" t="s">
        <v>688</v>
      </c>
      <c r="D668" t="s">
        <v>17</v>
      </c>
      <c r="E668" t="s">
        <v>2</v>
      </c>
      <c r="F668" t="s">
        <v>1</v>
      </c>
      <c r="G668" t="s">
        <v>16</v>
      </c>
      <c r="H668">
        <v>5</v>
      </c>
      <c r="I668" s="3">
        <v>52744</v>
      </c>
      <c r="J668" s="2">
        <v>0.15</v>
      </c>
      <c r="K668" s="3">
        <v>224162</v>
      </c>
      <c r="L668" s="3">
        <v>166747.38</v>
      </c>
      <c r="M668" s="3">
        <v>57414.62</v>
      </c>
    </row>
    <row r="669" spans="1:13" x14ac:dyDescent="0.3">
      <c r="A669" t="s">
        <v>687</v>
      </c>
      <c r="B669" s="4">
        <v>45971</v>
      </c>
      <c r="C669" t="s">
        <v>686</v>
      </c>
      <c r="D669" t="s">
        <v>42</v>
      </c>
      <c r="E669" t="s">
        <v>8</v>
      </c>
      <c r="F669" t="s">
        <v>1</v>
      </c>
      <c r="G669" t="s">
        <v>37</v>
      </c>
      <c r="H669">
        <v>14</v>
      </c>
      <c r="I669" s="3">
        <v>61375</v>
      </c>
      <c r="J669" s="2">
        <v>0.1</v>
      </c>
      <c r="K669" s="3">
        <v>773325</v>
      </c>
      <c r="L669" s="3">
        <v>474003.5</v>
      </c>
      <c r="M669" s="3">
        <v>299321.5</v>
      </c>
    </row>
    <row r="670" spans="1:13" x14ac:dyDescent="0.3">
      <c r="A670" t="s">
        <v>685</v>
      </c>
      <c r="B670" s="4">
        <v>45920</v>
      </c>
      <c r="C670" t="s">
        <v>684</v>
      </c>
      <c r="D670" t="s">
        <v>25</v>
      </c>
      <c r="E670" t="s">
        <v>24</v>
      </c>
      <c r="F670" t="s">
        <v>7</v>
      </c>
      <c r="G670" t="s">
        <v>20</v>
      </c>
      <c r="H670">
        <v>2</v>
      </c>
      <c r="I670" s="3">
        <v>28377</v>
      </c>
      <c r="J670" s="2">
        <v>0.1</v>
      </c>
      <c r="K670" s="3">
        <v>51078.6</v>
      </c>
      <c r="L670" s="3">
        <v>37530.1</v>
      </c>
      <c r="M670" s="3">
        <v>13548.5</v>
      </c>
    </row>
    <row r="671" spans="1:13" x14ac:dyDescent="0.3">
      <c r="A671" t="s">
        <v>683</v>
      </c>
      <c r="B671" s="4">
        <v>45766</v>
      </c>
      <c r="C671" t="s">
        <v>682</v>
      </c>
      <c r="D671" t="s">
        <v>3</v>
      </c>
      <c r="E671" t="s">
        <v>2</v>
      </c>
      <c r="F671" t="s">
        <v>13</v>
      </c>
      <c r="G671" t="s">
        <v>0</v>
      </c>
      <c r="H671">
        <v>2</v>
      </c>
      <c r="I671" s="3">
        <v>12729</v>
      </c>
      <c r="J671" s="2">
        <v>0.05</v>
      </c>
      <c r="K671" s="3">
        <v>24185.1</v>
      </c>
      <c r="L671" s="3">
        <v>18715.740000000002</v>
      </c>
      <c r="M671" s="3">
        <v>5469.36</v>
      </c>
    </row>
    <row r="672" spans="1:13" x14ac:dyDescent="0.3">
      <c r="A672" t="s">
        <v>681</v>
      </c>
      <c r="B672" s="4">
        <v>45814</v>
      </c>
      <c r="C672" t="s">
        <v>680</v>
      </c>
      <c r="D672" t="s">
        <v>28</v>
      </c>
      <c r="E672" t="s">
        <v>8</v>
      </c>
      <c r="F672" t="s">
        <v>23</v>
      </c>
      <c r="G672" t="s">
        <v>16</v>
      </c>
      <c r="H672">
        <v>3</v>
      </c>
      <c r="I672" s="3">
        <v>6984</v>
      </c>
      <c r="J672" s="2">
        <v>0.05</v>
      </c>
      <c r="K672" s="3">
        <v>19904.400000000001</v>
      </c>
      <c r="L672" s="3">
        <v>13305.83</v>
      </c>
      <c r="M672" s="3">
        <v>6598.57</v>
      </c>
    </row>
    <row r="673" spans="1:13" x14ac:dyDescent="0.3">
      <c r="A673" t="s">
        <v>679</v>
      </c>
      <c r="B673" s="4">
        <v>46059</v>
      </c>
      <c r="C673" t="s">
        <v>678</v>
      </c>
      <c r="D673" t="s">
        <v>34</v>
      </c>
      <c r="E673" t="s">
        <v>24</v>
      </c>
      <c r="F673" t="s">
        <v>23</v>
      </c>
      <c r="G673" t="s">
        <v>0</v>
      </c>
      <c r="H673">
        <v>2</v>
      </c>
      <c r="I673" s="3">
        <v>30262</v>
      </c>
      <c r="J673" s="2">
        <v>0</v>
      </c>
      <c r="K673" s="3">
        <v>60524</v>
      </c>
      <c r="L673" s="3">
        <v>31634.66</v>
      </c>
      <c r="M673" s="3">
        <v>28889.34</v>
      </c>
    </row>
    <row r="674" spans="1:13" x14ac:dyDescent="0.3">
      <c r="A674" t="s">
        <v>677</v>
      </c>
      <c r="B674" s="4">
        <v>46040</v>
      </c>
      <c r="C674" t="s">
        <v>676</v>
      </c>
      <c r="D674" t="s">
        <v>17</v>
      </c>
      <c r="E674" t="s">
        <v>2</v>
      </c>
      <c r="F674" t="s">
        <v>7</v>
      </c>
      <c r="G674" t="s">
        <v>0</v>
      </c>
      <c r="H674">
        <v>6</v>
      </c>
      <c r="I674" s="3">
        <v>72064</v>
      </c>
      <c r="J674" s="2">
        <v>0.05</v>
      </c>
      <c r="K674" s="3">
        <v>410764.79999999999</v>
      </c>
      <c r="L674" s="3">
        <v>225274.08</v>
      </c>
      <c r="M674" s="3">
        <v>185490.72</v>
      </c>
    </row>
    <row r="675" spans="1:13" x14ac:dyDescent="0.3">
      <c r="A675" t="s">
        <v>675</v>
      </c>
      <c r="B675" s="4">
        <v>45480</v>
      </c>
      <c r="C675" t="s">
        <v>674</v>
      </c>
      <c r="D675" t="s">
        <v>25</v>
      </c>
      <c r="E675" t="s">
        <v>24</v>
      </c>
      <c r="F675" t="s">
        <v>1</v>
      </c>
      <c r="G675" t="s">
        <v>0</v>
      </c>
      <c r="H675">
        <v>9</v>
      </c>
      <c r="I675" s="3">
        <v>15610</v>
      </c>
      <c r="J675" s="2">
        <v>0.05</v>
      </c>
      <c r="K675" s="3">
        <v>133465.5</v>
      </c>
      <c r="L675" s="3">
        <v>109205.97</v>
      </c>
      <c r="M675" s="3">
        <v>24259.53</v>
      </c>
    </row>
    <row r="676" spans="1:13" x14ac:dyDescent="0.3">
      <c r="A676" t="s">
        <v>673</v>
      </c>
      <c r="B676" s="4">
        <v>45928</v>
      </c>
      <c r="C676" t="s">
        <v>672</v>
      </c>
      <c r="D676" t="s">
        <v>25</v>
      </c>
      <c r="E676" t="s">
        <v>24</v>
      </c>
      <c r="F676" t="s">
        <v>7</v>
      </c>
      <c r="G676" t="s">
        <v>12</v>
      </c>
      <c r="H676">
        <v>4</v>
      </c>
      <c r="I676" s="3">
        <v>26418</v>
      </c>
      <c r="J676" s="2">
        <v>0.05</v>
      </c>
      <c r="K676" s="3">
        <v>100388.4</v>
      </c>
      <c r="L676" s="3">
        <v>76990.47</v>
      </c>
      <c r="M676" s="3">
        <v>23397.93</v>
      </c>
    </row>
    <row r="677" spans="1:13" x14ac:dyDescent="0.3">
      <c r="A677" t="s">
        <v>671</v>
      </c>
      <c r="B677" s="4">
        <v>45954</v>
      </c>
      <c r="C677" t="s">
        <v>670</v>
      </c>
      <c r="D677" t="s">
        <v>28</v>
      </c>
      <c r="E677" t="s">
        <v>8</v>
      </c>
      <c r="F677" t="s">
        <v>33</v>
      </c>
      <c r="G677" t="s">
        <v>0</v>
      </c>
      <c r="H677">
        <v>5</v>
      </c>
      <c r="I677" s="3">
        <v>1988</v>
      </c>
      <c r="J677" s="2">
        <v>0</v>
      </c>
      <c r="K677" s="3">
        <v>9940</v>
      </c>
      <c r="L677" s="3">
        <v>5316.53</v>
      </c>
      <c r="M677" s="3">
        <v>4623.47</v>
      </c>
    </row>
    <row r="678" spans="1:13" x14ac:dyDescent="0.3">
      <c r="A678" t="s">
        <v>669</v>
      </c>
      <c r="B678" s="4">
        <v>45537</v>
      </c>
      <c r="C678" t="s">
        <v>668</v>
      </c>
      <c r="D678" t="s">
        <v>17</v>
      </c>
      <c r="E678" t="s">
        <v>2</v>
      </c>
      <c r="F678" t="s">
        <v>23</v>
      </c>
      <c r="G678" t="s">
        <v>16</v>
      </c>
      <c r="H678">
        <v>1</v>
      </c>
      <c r="I678" s="3">
        <v>62943</v>
      </c>
      <c r="J678" s="2">
        <v>0.15</v>
      </c>
      <c r="K678" s="3">
        <v>53501.55</v>
      </c>
      <c r="L678" s="3">
        <v>35878.129999999997</v>
      </c>
      <c r="M678" s="3">
        <v>17623.419999999998</v>
      </c>
    </row>
    <row r="679" spans="1:13" x14ac:dyDescent="0.3">
      <c r="A679" t="s">
        <v>667</v>
      </c>
      <c r="B679" s="4">
        <v>46121</v>
      </c>
      <c r="C679" t="s">
        <v>666</v>
      </c>
      <c r="D679" t="s">
        <v>9</v>
      </c>
      <c r="E679" t="s">
        <v>8</v>
      </c>
      <c r="F679" t="s">
        <v>33</v>
      </c>
      <c r="G679" t="s">
        <v>12</v>
      </c>
      <c r="H679">
        <v>8</v>
      </c>
      <c r="I679" s="3">
        <v>13285</v>
      </c>
      <c r="J679" s="2">
        <v>0.15</v>
      </c>
      <c r="K679" s="3">
        <v>90338</v>
      </c>
      <c r="L679" s="3">
        <v>48892.65</v>
      </c>
      <c r="M679" s="3">
        <v>41445.35</v>
      </c>
    </row>
    <row r="680" spans="1:13" x14ac:dyDescent="0.3">
      <c r="A680" t="s">
        <v>665</v>
      </c>
      <c r="B680" s="4">
        <v>45922</v>
      </c>
      <c r="C680" t="s">
        <v>664</v>
      </c>
      <c r="D680" t="s">
        <v>17</v>
      </c>
      <c r="E680" t="s">
        <v>2</v>
      </c>
      <c r="F680" t="s">
        <v>7</v>
      </c>
      <c r="G680" t="s">
        <v>0</v>
      </c>
      <c r="H680">
        <v>8</v>
      </c>
      <c r="I680" s="3">
        <v>8957</v>
      </c>
      <c r="J680" s="2">
        <v>0</v>
      </c>
      <c r="K680" s="3">
        <v>71656</v>
      </c>
      <c r="L680" s="3">
        <v>40612.93</v>
      </c>
      <c r="M680" s="3">
        <v>31043.07</v>
      </c>
    </row>
    <row r="681" spans="1:13" x14ac:dyDescent="0.3">
      <c r="A681" t="s">
        <v>663</v>
      </c>
      <c r="B681" s="4">
        <v>45565</v>
      </c>
      <c r="C681" t="s">
        <v>662</v>
      </c>
      <c r="D681" t="s">
        <v>56</v>
      </c>
      <c r="E681" t="s">
        <v>24</v>
      </c>
      <c r="F681" t="s">
        <v>13</v>
      </c>
      <c r="G681" t="s">
        <v>12</v>
      </c>
      <c r="H681">
        <v>4</v>
      </c>
      <c r="I681" s="3">
        <v>45374</v>
      </c>
      <c r="J681" s="2">
        <v>0.2</v>
      </c>
      <c r="K681" s="3">
        <v>145196.79999999999</v>
      </c>
      <c r="L681" s="3">
        <v>75509.81</v>
      </c>
      <c r="M681" s="3">
        <v>69686.990000000005</v>
      </c>
    </row>
    <row r="682" spans="1:13" x14ac:dyDescent="0.3">
      <c r="A682" t="s">
        <v>661</v>
      </c>
      <c r="B682" s="4">
        <v>46086</v>
      </c>
      <c r="C682" t="s">
        <v>660</v>
      </c>
      <c r="D682" t="s">
        <v>34</v>
      </c>
      <c r="E682" t="s">
        <v>24</v>
      </c>
      <c r="F682" t="s">
        <v>33</v>
      </c>
      <c r="G682" t="s">
        <v>37</v>
      </c>
      <c r="H682">
        <v>4</v>
      </c>
      <c r="I682" s="3">
        <v>74776</v>
      </c>
      <c r="J682" s="2">
        <v>0.2</v>
      </c>
      <c r="K682" s="3">
        <v>239283.20000000001</v>
      </c>
      <c r="L682" s="3">
        <v>192521.43</v>
      </c>
      <c r="M682" s="3">
        <v>46761.77</v>
      </c>
    </row>
    <row r="683" spans="1:13" x14ac:dyDescent="0.3">
      <c r="A683" t="s">
        <v>659</v>
      </c>
      <c r="B683" s="4">
        <v>45658</v>
      </c>
      <c r="C683" t="s">
        <v>658</v>
      </c>
      <c r="D683" t="s">
        <v>17</v>
      </c>
      <c r="E683" t="s">
        <v>2</v>
      </c>
      <c r="F683" t="s">
        <v>13</v>
      </c>
      <c r="G683" t="s">
        <v>0</v>
      </c>
      <c r="H683">
        <v>9</v>
      </c>
      <c r="I683" s="3">
        <v>8336</v>
      </c>
      <c r="J683" s="2">
        <v>0.05</v>
      </c>
      <c r="K683" s="3">
        <v>71272.800000000003</v>
      </c>
      <c r="L683" s="3">
        <v>48646.559999999998</v>
      </c>
      <c r="M683" s="3">
        <v>22626.240000000002</v>
      </c>
    </row>
    <row r="684" spans="1:13" x14ac:dyDescent="0.3">
      <c r="A684" t="s">
        <v>657</v>
      </c>
      <c r="B684" s="4">
        <v>46129</v>
      </c>
      <c r="C684" t="s">
        <v>656</v>
      </c>
      <c r="D684" t="s">
        <v>3</v>
      </c>
      <c r="E684" t="s">
        <v>2</v>
      </c>
      <c r="F684" t="s">
        <v>33</v>
      </c>
      <c r="G684" t="s">
        <v>6</v>
      </c>
      <c r="H684">
        <v>2</v>
      </c>
      <c r="I684" s="3">
        <v>63567</v>
      </c>
      <c r="J684" s="2">
        <v>0.1</v>
      </c>
      <c r="K684" s="3">
        <v>114420.6</v>
      </c>
      <c r="L684" s="3">
        <v>75971.55</v>
      </c>
      <c r="M684" s="3">
        <v>38449.050000000003</v>
      </c>
    </row>
    <row r="685" spans="1:13" x14ac:dyDescent="0.3">
      <c r="A685" t="s">
        <v>655</v>
      </c>
      <c r="B685" s="4">
        <v>45781</v>
      </c>
      <c r="C685" t="s">
        <v>654</v>
      </c>
      <c r="D685" t="s">
        <v>3</v>
      </c>
      <c r="E685" t="s">
        <v>2</v>
      </c>
      <c r="F685" t="s">
        <v>7</v>
      </c>
      <c r="G685" t="s">
        <v>6</v>
      </c>
      <c r="H685">
        <v>13</v>
      </c>
      <c r="I685" s="3">
        <v>60377</v>
      </c>
      <c r="J685" s="2">
        <v>0.1</v>
      </c>
      <c r="K685" s="3">
        <v>706410.9</v>
      </c>
      <c r="L685" s="3">
        <v>377418.37</v>
      </c>
      <c r="M685" s="3">
        <v>328992.53000000003</v>
      </c>
    </row>
    <row r="686" spans="1:13" x14ac:dyDescent="0.3">
      <c r="A686" t="s">
        <v>653</v>
      </c>
      <c r="B686" s="4">
        <v>45876</v>
      </c>
      <c r="C686" t="s">
        <v>652</v>
      </c>
      <c r="D686" t="s">
        <v>25</v>
      </c>
      <c r="E686" t="s">
        <v>24</v>
      </c>
      <c r="F686" t="s">
        <v>13</v>
      </c>
      <c r="G686" t="s">
        <v>37</v>
      </c>
      <c r="H686">
        <v>2</v>
      </c>
      <c r="I686" s="3">
        <v>63255</v>
      </c>
      <c r="J686" s="2">
        <v>0.15</v>
      </c>
      <c r="K686" s="3">
        <v>107533.5</v>
      </c>
      <c r="L686" s="3">
        <v>63451.46</v>
      </c>
      <c r="M686" s="3">
        <v>44082.04</v>
      </c>
    </row>
    <row r="687" spans="1:13" x14ac:dyDescent="0.3">
      <c r="A687" t="s">
        <v>651</v>
      </c>
      <c r="B687" s="4">
        <v>45442</v>
      </c>
      <c r="C687" t="s">
        <v>650</v>
      </c>
      <c r="D687" t="s">
        <v>9</v>
      </c>
      <c r="E687" t="s">
        <v>8</v>
      </c>
      <c r="F687" t="s">
        <v>23</v>
      </c>
      <c r="G687" t="s">
        <v>20</v>
      </c>
      <c r="H687">
        <v>13</v>
      </c>
      <c r="I687" s="3">
        <v>68457</v>
      </c>
      <c r="J687" s="2">
        <v>0</v>
      </c>
      <c r="K687" s="3">
        <v>889941</v>
      </c>
      <c r="L687" s="3">
        <v>645427.22</v>
      </c>
      <c r="M687" s="3">
        <v>244513.78</v>
      </c>
    </row>
    <row r="688" spans="1:13" x14ac:dyDescent="0.3">
      <c r="A688" t="s">
        <v>649</v>
      </c>
      <c r="B688" s="4">
        <v>46014</v>
      </c>
      <c r="C688" t="s">
        <v>648</v>
      </c>
      <c r="D688" t="s">
        <v>42</v>
      </c>
      <c r="E688" t="s">
        <v>8</v>
      </c>
      <c r="F688" t="s">
        <v>7</v>
      </c>
      <c r="G688" t="s">
        <v>12</v>
      </c>
      <c r="H688">
        <v>13</v>
      </c>
      <c r="I688" s="3">
        <v>66404</v>
      </c>
      <c r="J688" s="2">
        <v>0.2</v>
      </c>
      <c r="K688" s="3">
        <v>690601.6</v>
      </c>
      <c r="L688" s="3">
        <v>378970.76</v>
      </c>
      <c r="M688" s="3">
        <v>311630.84000000003</v>
      </c>
    </row>
    <row r="689" spans="1:13" x14ac:dyDescent="0.3">
      <c r="A689" t="s">
        <v>647</v>
      </c>
      <c r="B689" s="4">
        <v>45518</v>
      </c>
      <c r="C689" t="s">
        <v>646</v>
      </c>
      <c r="D689" t="s">
        <v>56</v>
      </c>
      <c r="E689" t="s">
        <v>24</v>
      </c>
      <c r="F689" t="s">
        <v>1</v>
      </c>
      <c r="G689" t="s">
        <v>6</v>
      </c>
      <c r="H689">
        <v>12</v>
      </c>
      <c r="I689" s="3">
        <v>6472</v>
      </c>
      <c r="J689" s="2">
        <v>0.1</v>
      </c>
      <c r="K689" s="3">
        <v>69897.600000000006</v>
      </c>
      <c r="L689" s="3">
        <v>51008.47</v>
      </c>
      <c r="M689" s="3">
        <v>18889.13</v>
      </c>
    </row>
    <row r="690" spans="1:13" x14ac:dyDescent="0.3">
      <c r="A690" t="s">
        <v>645</v>
      </c>
      <c r="B690" s="4">
        <v>46042</v>
      </c>
      <c r="C690" t="s">
        <v>644</v>
      </c>
      <c r="D690" t="s">
        <v>3</v>
      </c>
      <c r="E690" t="s">
        <v>2</v>
      </c>
      <c r="F690" t="s">
        <v>23</v>
      </c>
      <c r="G690" t="s">
        <v>0</v>
      </c>
      <c r="H690">
        <v>10</v>
      </c>
      <c r="I690" s="3">
        <v>61094</v>
      </c>
      <c r="J690" s="2">
        <v>0</v>
      </c>
      <c r="K690" s="3">
        <v>610940</v>
      </c>
      <c r="L690" s="3">
        <v>401560.6</v>
      </c>
      <c r="M690" s="3">
        <v>209379.4</v>
      </c>
    </row>
    <row r="691" spans="1:13" x14ac:dyDescent="0.3">
      <c r="A691" t="s">
        <v>643</v>
      </c>
      <c r="B691" s="4">
        <v>45934</v>
      </c>
      <c r="C691" t="s">
        <v>642</v>
      </c>
      <c r="D691" t="s">
        <v>25</v>
      </c>
      <c r="E691" t="s">
        <v>24</v>
      </c>
      <c r="F691" t="s">
        <v>13</v>
      </c>
      <c r="G691" t="s">
        <v>12</v>
      </c>
      <c r="H691">
        <v>14</v>
      </c>
      <c r="I691" s="3">
        <v>26104</v>
      </c>
      <c r="J691" s="2">
        <v>0.1</v>
      </c>
      <c r="K691" s="3">
        <v>328910.40000000002</v>
      </c>
      <c r="L691" s="3">
        <v>250670.96</v>
      </c>
      <c r="M691" s="3">
        <v>78239.44</v>
      </c>
    </row>
    <row r="692" spans="1:13" x14ac:dyDescent="0.3">
      <c r="A692" t="s">
        <v>641</v>
      </c>
      <c r="B692" s="4">
        <v>45977</v>
      </c>
      <c r="C692" t="s">
        <v>631</v>
      </c>
      <c r="D692" t="s">
        <v>17</v>
      </c>
      <c r="E692" t="s">
        <v>2</v>
      </c>
      <c r="F692" t="s">
        <v>33</v>
      </c>
      <c r="G692" t="s">
        <v>12</v>
      </c>
      <c r="H692">
        <v>1</v>
      </c>
      <c r="I692" s="3">
        <v>22650</v>
      </c>
      <c r="J692" s="2">
        <v>0</v>
      </c>
      <c r="K692" s="3">
        <v>22650</v>
      </c>
      <c r="L692" s="3">
        <v>14178.27</v>
      </c>
      <c r="M692" s="3">
        <v>8471.73</v>
      </c>
    </row>
    <row r="693" spans="1:13" x14ac:dyDescent="0.3">
      <c r="A693" t="s">
        <v>640</v>
      </c>
      <c r="B693" s="4">
        <v>45455</v>
      </c>
      <c r="C693" t="s">
        <v>639</v>
      </c>
      <c r="D693" t="s">
        <v>17</v>
      </c>
      <c r="E693" t="s">
        <v>2</v>
      </c>
      <c r="F693" t="s">
        <v>1</v>
      </c>
      <c r="G693" t="s">
        <v>20</v>
      </c>
      <c r="H693">
        <v>6</v>
      </c>
      <c r="I693" s="3">
        <v>68063</v>
      </c>
      <c r="J693" s="2">
        <v>0.15</v>
      </c>
      <c r="K693" s="3">
        <v>347121.3</v>
      </c>
      <c r="L693" s="3">
        <v>255275.48</v>
      </c>
      <c r="M693" s="3">
        <v>91845.82</v>
      </c>
    </row>
    <row r="694" spans="1:13" x14ac:dyDescent="0.3">
      <c r="A694" t="s">
        <v>638</v>
      </c>
      <c r="B694" s="4">
        <v>45719</v>
      </c>
      <c r="C694" t="s">
        <v>637</v>
      </c>
      <c r="D694" t="s">
        <v>3</v>
      </c>
      <c r="E694" t="s">
        <v>2</v>
      </c>
      <c r="F694" t="s">
        <v>33</v>
      </c>
      <c r="G694" t="s">
        <v>0</v>
      </c>
      <c r="H694">
        <v>14</v>
      </c>
      <c r="I694" s="3">
        <v>62661</v>
      </c>
      <c r="J694" s="2">
        <v>0.05</v>
      </c>
      <c r="K694" s="3">
        <v>833391.3</v>
      </c>
      <c r="L694" s="3">
        <v>507086.23</v>
      </c>
      <c r="M694" s="3">
        <v>326305.07</v>
      </c>
    </row>
    <row r="695" spans="1:13" x14ac:dyDescent="0.3">
      <c r="A695" t="s">
        <v>636</v>
      </c>
      <c r="B695" s="4">
        <v>46153</v>
      </c>
      <c r="C695" t="s">
        <v>635</v>
      </c>
      <c r="D695" t="s">
        <v>17</v>
      </c>
      <c r="E695" t="s">
        <v>2</v>
      </c>
      <c r="F695" t="s">
        <v>23</v>
      </c>
      <c r="G695" t="s">
        <v>20</v>
      </c>
      <c r="H695">
        <v>1</v>
      </c>
      <c r="I695" s="3">
        <v>54343</v>
      </c>
      <c r="J695" s="2">
        <v>0.05</v>
      </c>
      <c r="K695" s="3">
        <v>51625.85</v>
      </c>
      <c r="L695" s="3">
        <v>32013.58</v>
      </c>
      <c r="M695" s="3">
        <v>19612.27</v>
      </c>
    </row>
    <row r="696" spans="1:13" x14ac:dyDescent="0.3">
      <c r="A696" t="s">
        <v>634</v>
      </c>
      <c r="B696" s="4">
        <v>45675</v>
      </c>
      <c r="C696" t="s">
        <v>633</v>
      </c>
      <c r="D696" t="s">
        <v>25</v>
      </c>
      <c r="E696" t="s">
        <v>24</v>
      </c>
      <c r="F696" t="s">
        <v>7</v>
      </c>
      <c r="G696" t="s">
        <v>20</v>
      </c>
      <c r="H696">
        <v>4</v>
      </c>
      <c r="I696" s="3">
        <v>1020</v>
      </c>
      <c r="J696" s="2">
        <v>0.05</v>
      </c>
      <c r="K696" s="3">
        <v>3876</v>
      </c>
      <c r="L696" s="3">
        <v>2762.19</v>
      </c>
      <c r="M696" s="3">
        <v>1113.81</v>
      </c>
    </row>
    <row r="697" spans="1:13" x14ac:dyDescent="0.3">
      <c r="A697" t="s">
        <v>632</v>
      </c>
      <c r="B697" s="4">
        <v>46075</v>
      </c>
      <c r="C697" t="s">
        <v>631</v>
      </c>
      <c r="D697" t="s">
        <v>56</v>
      </c>
      <c r="E697" t="s">
        <v>24</v>
      </c>
      <c r="F697" t="s">
        <v>1</v>
      </c>
      <c r="G697" t="s">
        <v>20</v>
      </c>
      <c r="H697">
        <v>9</v>
      </c>
      <c r="I697" s="3">
        <v>72809</v>
      </c>
      <c r="J697" s="2">
        <v>0.15</v>
      </c>
      <c r="K697" s="3">
        <v>556988.85</v>
      </c>
      <c r="L697" s="3">
        <v>305336.31</v>
      </c>
      <c r="M697" s="3">
        <v>251652.54</v>
      </c>
    </row>
    <row r="698" spans="1:13" x14ac:dyDescent="0.3">
      <c r="A698" t="s">
        <v>630</v>
      </c>
      <c r="B698" s="4">
        <v>46148</v>
      </c>
      <c r="C698" t="s">
        <v>629</v>
      </c>
      <c r="D698" t="s">
        <v>17</v>
      </c>
      <c r="E698" t="s">
        <v>2</v>
      </c>
      <c r="F698" t="s">
        <v>1</v>
      </c>
      <c r="G698" t="s">
        <v>20</v>
      </c>
      <c r="H698">
        <v>7</v>
      </c>
      <c r="I698" s="3">
        <v>20549</v>
      </c>
      <c r="J698" s="2">
        <v>0.05</v>
      </c>
      <c r="K698" s="3">
        <v>136650.85</v>
      </c>
      <c r="L698" s="3">
        <v>116080.37</v>
      </c>
      <c r="M698" s="3">
        <v>20570.48</v>
      </c>
    </row>
    <row r="699" spans="1:13" x14ac:dyDescent="0.3">
      <c r="A699" t="s">
        <v>628</v>
      </c>
      <c r="B699" s="4">
        <v>45466</v>
      </c>
      <c r="C699" t="s">
        <v>627</v>
      </c>
      <c r="D699" t="s">
        <v>25</v>
      </c>
      <c r="E699" t="s">
        <v>24</v>
      </c>
      <c r="F699" t="s">
        <v>13</v>
      </c>
      <c r="G699" t="s">
        <v>16</v>
      </c>
      <c r="H699">
        <v>3</v>
      </c>
      <c r="I699" s="3">
        <v>31711</v>
      </c>
      <c r="J699" s="2">
        <v>0.15</v>
      </c>
      <c r="K699" s="3">
        <v>80863.05</v>
      </c>
      <c r="L699" s="3">
        <v>45172.17</v>
      </c>
      <c r="M699" s="3">
        <v>35690.879999999997</v>
      </c>
    </row>
    <row r="700" spans="1:13" x14ac:dyDescent="0.3">
      <c r="A700" t="s">
        <v>626</v>
      </c>
      <c r="B700" s="4">
        <v>45982</v>
      </c>
      <c r="C700" t="s">
        <v>625</v>
      </c>
      <c r="D700" t="s">
        <v>56</v>
      </c>
      <c r="E700" t="s">
        <v>24</v>
      </c>
      <c r="F700" t="s">
        <v>7</v>
      </c>
      <c r="G700" t="s">
        <v>6</v>
      </c>
      <c r="H700">
        <v>15</v>
      </c>
      <c r="I700" s="3">
        <v>30224</v>
      </c>
      <c r="J700" s="2">
        <v>0.05</v>
      </c>
      <c r="K700" s="3">
        <v>430692</v>
      </c>
      <c r="L700" s="3">
        <v>359596.1</v>
      </c>
      <c r="M700" s="3">
        <v>71095.899999999994</v>
      </c>
    </row>
    <row r="701" spans="1:13" x14ac:dyDescent="0.3">
      <c r="A701" t="s">
        <v>624</v>
      </c>
      <c r="B701" s="4">
        <v>45762</v>
      </c>
      <c r="C701" t="s">
        <v>623</v>
      </c>
      <c r="D701" t="s">
        <v>25</v>
      </c>
      <c r="E701" t="s">
        <v>24</v>
      </c>
      <c r="F701" t="s">
        <v>7</v>
      </c>
      <c r="G701" t="s">
        <v>37</v>
      </c>
      <c r="H701">
        <v>1</v>
      </c>
      <c r="I701" s="3">
        <v>58092</v>
      </c>
      <c r="J701" s="2">
        <v>0</v>
      </c>
      <c r="K701" s="3">
        <v>58092</v>
      </c>
      <c r="L701" s="3">
        <v>48716.79</v>
      </c>
      <c r="M701" s="3">
        <v>9375.2099999999991</v>
      </c>
    </row>
    <row r="702" spans="1:13" x14ac:dyDescent="0.3">
      <c r="A702" t="s">
        <v>622</v>
      </c>
      <c r="B702" s="4">
        <v>45968</v>
      </c>
      <c r="C702" t="s">
        <v>621</v>
      </c>
      <c r="D702" t="s">
        <v>25</v>
      </c>
      <c r="E702" t="s">
        <v>24</v>
      </c>
      <c r="F702" t="s">
        <v>33</v>
      </c>
      <c r="G702" t="s">
        <v>0</v>
      </c>
      <c r="H702">
        <v>14</v>
      </c>
      <c r="I702" s="3">
        <v>19136</v>
      </c>
      <c r="J702" s="2">
        <v>0.15</v>
      </c>
      <c r="K702" s="3">
        <v>227718.39999999999</v>
      </c>
      <c r="L702" s="3">
        <v>119704.68</v>
      </c>
      <c r="M702" s="3">
        <v>108013.72</v>
      </c>
    </row>
    <row r="703" spans="1:13" x14ac:dyDescent="0.3">
      <c r="A703" t="s">
        <v>620</v>
      </c>
      <c r="B703" s="4">
        <v>45745</v>
      </c>
      <c r="C703" t="s">
        <v>619</v>
      </c>
      <c r="D703" t="s">
        <v>9</v>
      </c>
      <c r="E703" t="s">
        <v>8</v>
      </c>
      <c r="F703" t="s">
        <v>1</v>
      </c>
      <c r="G703" t="s">
        <v>16</v>
      </c>
      <c r="H703">
        <v>12</v>
      </c>
      <c r="I703" s="3">
        <v>68214</v>
      </c>
      <c r="J703" s="2">
        <v>0.2</v>
      </c>
      <c r="K703" s="3">
        <v>654854.40000000002</v>
      </c>
      <c r="L703" s="3">
        <v>354150.95</v>
      </c>
      <c r="M703" s="3">
        <v>300703.45</v>
      </c>
    </row>
    <row r="704" spans="1:13" x14ac:dyDescent="0.3">
      <c r="A704" t="s">
        <v>618</v>
      </c>
      <c r="B704" s="4">
        <v>45582</v>
      </c>
      <c r="C704" t="s">
        <v>617</v>
      </c>
      <c r="D704" t="s">
        <v>9</v>
      </c>
      <c r="E704" t="s">
        <v>8</v>
      </c>
      <c r="F704" t="s">
        <v>1</v>
      </c>
      <c r="G704" t="s">
        <v>16</v>
      </c>
      <c r="H704">
        <v>10</v>
      </c>
      <c r="I704" s="3">
        <v>49439</v>
      </c>
      <c r="J704" s="2">
        <v>0.2</v>
      </c>
      <c r="K704" s="3">
        <v>395512</v>
      </c>
      <c r="L704" s="3">
        <v>330976.83</v>
      </c>
      <c r="M704" s="3">
        <v>64535.17</v>
      </c>
    </row>
    <row r="705" spans="1:13" x14ac:dyDescent="0.3">
      <c r="A705" t="s">
        <v>616</v>
      </c>
      <c r="B705" s="4">
        <v>45908</v>
      </c>
      <c r="C705" t="s">
        <v>615</v>
      </c>
      <c r="D705" t="s">
        <v>53</v>
      </c>
      <c r="E705" t="s">
        <v>2</v>
      </c>
      <c r="F705" t="s">
        <v>7</v>
      </c>
      <c r="G705" t="s">
        <v>6</v>
      </c>
      <c r="H705">
        <v>15</v>
      </c>
      <c r="I705" s="3">
        <v>34206</v>
      </c>
      <c r="J705" s="2">
        <v>0.2</v>
      </c>
      <c r="K705" s="3">
        <v>410472</v>
      </c>
      <c r="L705" s="3">
        <v>260115.12</v>
      </c>
      <c r="M705" s="3">
        <v>150356.88</v>
      </c>
    </row>
    <row r="706" spans="1:13" x14ac:dyDescent="0.3">
      <c r="A706" t="s">
        <v>614</v>
      </c>
      <c r="B706" s="4">
        <v>45654</v>
      </c>
      <c r="C706" t="s">
        <v>613</v>
      </c>
      <c r="D706" t="s">
        <v>17</v>
      </c>
      <c r="E706" t="s">
        <v>2</v>
      </c>
      <c r="F706" t="s">
        <v>23</v>
      </c>
      <c r="G706" t="s">
        <v>6</v>
      </c>
      <c r="H706">
        <v>6</v>
      </c>
      <c r="I706" s="3">
        <v>69663</v>
      </c>
      <c r="J706" s="2">
        <v>0.1</v>
      </c>
      <c r="K706" s="3">
        <v>376180.2</v>
      </c>
      <c r="L706" s="3">
        <v>277278.55</v>
      </c>
      <c r="M706" s="3">
        <v>98901.65</v>
      </c>
    </row>
    <row r="707" spans="1:13" x14ac:dyDescent="0.3">
      <c r="A707" t="s">
        <v>612</v>
      </c>
      <c r="B707" s="4">
        <v>46125</v>
      </c>
      <c r="C707" t="s">
        <v>611</v>
      </c>
      <c r="D707" t="s">
        <v>42</v>
      </c>
      <c r="E707" t="s">
        <v>8</v>
      </c>
      <c r="F707" t="s">
        <v>23</v>
      </c>
      <c r="G707" t="s">
        <v>16</v>
      </c>
      <c r="H707">
        <v>10</v>
      </c>
      <c r="I707" s="3">
        <v>62824</v>
      </c>
      <c r="J707" s="2">
        <v>0.05</v>
      </c>
      <c r="K707" s="3">
        <v>596828</v>
      </c>
      <c r="L707" s="3">
        <v>438810.74</v>
      </c>
      <c r="M707" s="3">
        <v>158017.26</v>
      </c>
    </row>
    <row r="708" spans="1:13" x14ac:dyDescent="0.3">
      <c r="A708" t="s">
        <v>610</v>
      </c>
      <c r="B708" s="4">
        <v>46075</v>
      </c>
      <c r="C708" t="s">
        <v>609</v>
      </c>
      <c r="D708" t="s">
        <v>56</v>
      </c>
      <c r="E708" t="s">
        <v>24</v>
      </c>
      <c r="F708" t="s">
        <v>1</v>
      </c>
      <c r="G708" t="s">
        <v>16</v>
      </c>
      <c r="H708">
        <v>11</v>
      </c>
      <c r="I708" s="3">
        <v>24625</v>
      </c>
      <c r="J708" s="2">
        <v>0.15</v>
      </c>
      <c r="K708" s="3">
        <v>230243.75</v>
      </c>
      <c r="L708" s="3">
        <v>192361.98</v>
      </c>
      <c r="M708" s="3">
        <v>37881.769999999997</v>
      </c>
    </row>
    <row r="709" spans="1:13" x14ac:dyDescent="0.3">
      <c r="A709" t="s">
        <v>608</v>
      </c>
      <c r="B709" s="4">
        <v>45437</v>
      </c>
      <c r="C709" t="s">
        <v>607</v>
      </c>
      <c r="D709" t="s">
        <v>3</v>
      </c>
      <c r="E709" t="s">
        <v>2</v>
      </c>
      <c r="F709" t="s">
        <v>1</v>
      </c>
      <c r="G709" t="s">
        <v>0</v>
      </c>
      <c r="H709">
        <v>9</v>
      </c>
      <c r="I709" s="3">
        <v>54623</v>
      </c>
      <c r="J709" s="2">
        <v>0.15</v>
      </c>
      <c r="K709" s="3">
        <v>417865.95</v>
      </c>
      <c r="L709" s="3">
        <v>349568.63</v>
      </c>
      <c r="M709" s="3">
        <v>68297.320000000007</v>
      </c>
    </row>
    <row r="710" spans="1:13" x14ac:dyDescent="0.3">
      <c r="A710" t="s">
        <v>606</v>
      </c>
      <c r="B710" s="4">
        <v>45585</v>
      </c>
      <c r="C710" t="s">
        <v>605</v>
      </c>
      <c r="D710" t="s">
        <v>9</v>
      </c>
      <c r="E710" t="s">
        <v>8</v>
      </c>
      <c r="F710" t="s">
        <v>1</v>
      </c>
      <c r="G710" t="s">
        <v>12</v>
      </c>
      <c r="H710">
        <v>6</v>
      </c>
      <c r="I710" s="3">
        <v>50818</v>
      </c>
      <c r="J710" s="2">
        <v>0.15</v>
      </c>
      <c r="K710" s="3">
        <v>259171.8</v>
      </c>
      <c r="L710" s="3">
        <v>199149.76</v>
      </c>
      <c r="M710" s="3">
        <v>60022.04</v>
      </c>
    </row>
    <row r="711" spans="1:13" x14ac:dyDescent="0.3">
      <c r="A711" t="s">
        <v>604</v>
      </c>
      <c r="B711" s="4">
        <v>45766</v>
      </c>
      <c r="C711" t="s">
        <v>603</v>
      </c>
      <c r="D711" t="s">
        <v>42</v>
      </c>
      <c r="E711" t="s">
        <v>8</v>
      </c>
      <c r="F711" t="s">
        <v>1</v>
      </c>
      <c r="G711" t="s">
        <v>16</v>
      </c>
      <c r="H711">
        <v>15</v>
      </c>
      <c r="I711" s="3">
        <v>35868</v>
      </c>
      <c r="J711" s="2">
        <v>0</v>
      </c>
      <c r="K711" s="3">
        <v>538020</v>
      </c>
      <c r="L711" s="3">
        <v>275726.98</v>
      </c>
      <c r="M711" s="3">
        <v>262293.02</v>
      </c>
    </row>
    <row r="712" spans="1:13" x14ac:dyDescent="0.3">
      <c r="A712" t="s">
        <v>602</v>
      </c>
      <c r="B712" s="4">
        <v>45745</v>
      </c>
      <c r="C712" t="s">
        <v>601</v>
      </c>
      <c r="D712" t="s">
        <v>28</v>
      </c>
      <c r="E712" t="s">
        <v>8</v>
      </c>
      <c r="F712" t="s">
        <v>7</v>
      </c>
      <c r="G712" t="s">
        <v>20</v>
      </c>
      <c r="H712">
        <v>11</v>
      </c>
      <c r="I712" s="3">
        <v>11196</v>
      </c>
      <c r="J712" s="2">
        <v>0.15</v>
      </c>
      <c r="K712" s="3">
        <v>104682.6</v>
      </c>
      <c r="L712" s="3">
        <v>73678.070000000007</v>
      </c>
      <c r="M712" s="3">
        <v>31004.53</v>
      </c>
    </row>
    <row r="713" spans="1:13" x14ac:dyDescent="0.3">
      <c r="A713" t="s">
        <v>600</v>
      </c>
      <c r="B713" s="4">
        <v>45480</v>
      </c>
      <c r="C713" t="s">
        <v>599</v>
      </c>
      <c r="D713" t="s">
        <v>28</v>
      </c>
      <c r="E713" t="s">
        <v>8</v>
      </c>
      <c r="F713" t="s">
        <v>33</v>
      </c>
      <c r="G713" t="s">
        <v>6</v>
      </c>
      <c r="H713">
        <v>6</v>
      </c>
      <c r="I713" s="3">
        <v>58307</v>
      </c>
      <c r="J713" s="2">
        <v>0.1</v>
      </c>
      <c r="K713" s="3">
        <v>314857.8</v>
      </c>
      <c r="L713" s="3">
        <v>176760.09</v>
      </c>
      <c r="M713" s="3">
        <v>138097.71</v>
      </c>
    </row>
    <row r="714" spans="1:13" x14ac:dyDescent="0.3">
      <c r="A714" t="s">
        <v>598</v>
      </c>
      <c r="B714" s="4">
        <v>45872</v>
      </c>
      <c r="C714" t="s">
        <v>597</v>
      </c>
      <c r="D714" t="s">
        <v>53</v>
      </c>
      <c r="E714" t="s">
        <v>2</v>
      </c>
      <c r="F714" t="s">
        <v>7</v>
      </c>
      <c r="G714" t="s">
        <v>20</v>
      </c>
      <c r="H714">
        <v>11</v>
      </c>
      <c r="I714" s="3">
        <v>22094</v>
      </c>
      <c r="J714" s="2">
        <v>0.15</v>
      </c>
      <c r="K714" s="3">
        <v>206578.9</v>
      </c>
      <c r="L714" s="3">
        <v>130020.2</v>
      </c>
      <c r="M714" s="3">
        <v>76558.7</v>
      </c>
    </row>
    <row r="715" spans="1:13" x14ac:dyDescent="0.3">
      <c r="A715" t="s">
        <v>596</v>
      </c>
      <c r="B715" s="4">
        <v>45936</v>
      </c>
      <c r="C715" t="s">
        <v>595</v>
      </c>
      <c r="D715" t="s">
        <v>42</v>
      </c>
      <c r="E715" t="s">
        <v>8</v>
      </c>
      <c r="F715" t="s">
        <v>1</v>
      </c>
      <c r="G715" t="s">
        <v>0</v>
      </c>
      <c r="H715">
        <v>11</v>
      </c>
      <c r="I715" s="3">
        <v>33580</v>
      </c>
      <c r="J715" s="2">
        <v>0.2</v>
      </c>
      <c r="K715" s="3">
        <v>295504</v>
      </c>
      <c r="L715" s="3">
        <v>247695.21</v>
      </c>
      <c r="M715" s="3">
        <v>47808.79</v>
      </c>
    </row>
    <row r="716" spans="1:13" x14ac:dyDescent="0.3">
      <c r="A716" t="s">
        <v>594</v>
      </c>
      <c r="B716" s="4">
        <v>45926</v>
      </c>
      <c r="C716" t="s">
        <v>593</v>
      </c>
      <c r="D716" t="s">
        <v>34</v>
      </c>
      <c r="E716" t="s">
        <v>24</v>
      </c>
      <c r="F716" t="s">
        <v>13</v>
      </c>
      <c r="G716" t="s">
        <v>37</v>
      </c>
      <c r="H716">
        <v>5</v>
      </c>
      <c r="I716" s="3">
        <v>22418</v>
      </c>
      <c r="J716" s="2">
        <v>0</v>
      </c>
      <c r="K716" s="3">
        <v>112090</v>
      </c>
      <c r="L716" s="3">
        <v>79628.08</v>
      </c>
      <c r="M716" s="3">
        <v>32461.919999999998</v>
      </c>
    </row>
    <row r="717" spans="1:13" x14ac:dyDescent="0.3">
      <c r="A717" t="s">
        <v>592</v>
      </c>
      <c r="B717" s="4">
        <v>45781</v>
      </c>
      <c r="C717" t="s">
        <v>591</v>
      </c>
      <c r="D717" t="s">
        <v>3</v>
      </c>
      <c r="E717" t="s">
        <v>2</v>
      </c>
      <c r="F717" t="s">
        <v>7</v>
      </c>
      <c r="G717" t="s">
        <v>37</v>
      </c>
      <c r="H717">
        <v>10</v>
      </c>
      <c r="I717" s="3">
        <v>71104</v>
      </c>
      <c r="J717" s="2">
        <v>0.15</v>
      </c>
      <c r="K717" s="3">
        <v>604384</v>
      </c>
      <c r="L717" s="3">
        <v>455685.99</v>
      </c>
      <c r="M717" s="3">
        <v>148698.01</v>
      </c>
    </row>
    <row r="718" spans="1:13" x14ac:dyDescent="0.3">
      <c r="A718" t="s">
        <v>590</v>
      </c>
      <c r="B718" s="4">
        <v>45864</v>
      </c>
      <c r="C718" t="s">
        <v>589</v>
      </c>
      <c r="D718" t="s">
        <v>3</v>
      </c>
      <c r="E718" t="s">
        <v>2</v>
      </c>
      <c r="F718" t="s">
        <v>23</v>
      </c>
      <c r="G718" t="s">
        <v>12</v>
      </c>
      <c r="H718">
        <v>14</v>
      </c>
      <c r="I718" s="3">
        <v>23703</v>
      </c>
      <c r="J718" s="2">
        <v>0</v>
      </c>
      <c r="K718" s="3">
        <v>331842</v>
      </c>
      <c r="L718" s="3">
        <v>246744.5</v>
      </c>
      <c r="M718" s="3">
        <v>85097.5</v>
      </c>
    </row>
    <row r="719" spans="1:13" x14ac:dyDescent="0.3">
      <c r="A719" t="s">
        <v>588</v>
      </c>
      <c r="B719" s="4">
        <v>45872</v>
      </c>
      <c r="C719" t="s">
        <v>587</v>
      </c>
      <c r="D719" t="s">
        <v>3</v>
      </c>
      <c r="E719" t="s">
        <v>2</v>
      </c>
      <c r="F719" t="s">
        <v>23</v>
      </c>
      <c r="G719" t="s">
        <v>37</v>
      </c>
      <c r="H719">
        <v>5</v>
      </c>
      <c r="I719" s="3">
        <v>31980</v>
      </c>
      <c r="J719" s="2">
        <v>0</v>
      </c>
      <c r="K719" s="3">
        <v>159900</v>
      </c>
      <c r="L719" s="3">
        <v>81289.91</v>
      </c>
      <c r="M719" s="3">
        <v>78610.09</v>
      </c>
    </row>
    <row r="720" spans="1:13" x14ac:dyDescent="0.3">
      <c r="A720" t="s">
        <v>586</v>
      </c>
      <c r="B720" s="4">
        <v>46125</v>
      </c>
      <c r="C720" t="s">
        <v>585</v>
      </c>
      <c r="D720" t="s">
        <v>3</v>
      </c>
      <c r="E720" t="s">
        <v>2</v>
      </c>
      <c r="F720" t="s">
        <v>7</v>
      </c>
      <c r="G720" t="s">
        <v>0</v>
      </c>
      <c r="H720">
        <v>8</v>
      </c>
      <c r="I720" s="3">
        <v>44955</v>
      </c>
      <c r="J720" s="2">
        <v>0</v>
      </c>
      <c r="K720" s="3">
        <v>359640</v>
      </c>
      <c r="L720" s="3">
        <v>245567.1</v>
      </c>
      <c r="M720" s="3">
        <v>114072.9</v>
      </c>
    </row>
    <row r="721" spans="1:13" x14ac:dyDescent="0.3">
      <c r="A721" t="s">
        <v>584</v>
      </c>
      <c r="B721" s="4">
        <v>46084</v>
      </c>
      <c r="C721" t="s">
        <v>583</v>
      </c>
      <c r="D721" t="s">
        <v>34</v>
      </c>
      <c r="E721" t="s">
        <v>24</v>
      </c>
      <c r="F721" t="s">
        <v>23</v>
      </c>
      <c r="G721" t="s">
        <v>0</v>
      </c>
      <c r="H721">
        <v>8</v>
      </c>
      <c r="I721" s="3">
        <v>34884</v>
      </c>
      <c r="J721" s="2">
        <v>0.1</v>
      </c>
      <c r="K721" s="3">
        <v>251164.79999999999</v>
      </c>
      <c r="L721" s="3">
        <v>130415.6</v>
      </c>
      <c r="M721" s="3">
        <v>120749.2</v>
      </c>
    </row>
    <row r="722" spans="1:13" x14ac:dyDescent="0.3">
      <c r="A722" t="s">
        <v>582</v>
      </c>
      <c r="B722" s="4">
        <v>45629</v>
      </c>
      <c r="C722" t="s">
        <v>581</v>
      </c>
      <c r="D722" t="s">
        <v>17</v>
      </c>
      <c r="E722" t="s">
        <v>2</v>
      </c>
      <c r="F722" t="s">
        <v>7</v>
      </c>
      <c r="G722" t="s">
        <v>12</v>
      </c>
      <c r="H722">
        <v>2</v>
      </c>
      <c r="I722" s="3">
        <v>9310</v>
      </c>
      <c r="J722" s="2">
        <v>0.2</v>
      </c>
      <c r="K722" s="3">
        <v>14896</v>
      </c>
      <c r="L722" s="3">
        <v>7720.82</v>
      </c>
      <c r="M722" s="3">
        <v>7175.18</v>
      </c>
    </row>
    <row r="723" spans="1:13" x14ac:dyDescent="0.3">
      <c r="A723" t="s">
        <v>580</v>
      </c>
      <c r="B723" s="4">
        <v>45854</v>
      </c>
      <c r="C723" t="s">
        <v>579</v>
      </c>
      <c r="D723" t="s">
        <v>28</v>
      </c>
      <c r="E723" t="s">
        <v>8</v>
      </c>
      <c r="F723" t="s">
        <v>13</v>
      </c>
      <c r="G723" t="s">
        <v>20</v>
      </c>
      <c r="H723">
        <v>6</v>
      </c>
      <c r="I723" s="3">
        <v>66766</v>
      </c>
      <c r="J723" s="2">
        <v>0.15</v>
      </c>
      <c r="K723" s="3">
        <v>340506.6</v>
      </c>
      <c r="L723" s="3">
        <v>187065.04</v>
      </c>
      <c r="M723" s="3">
        <v>153441.56</v>
      </c>
    </row>
    <row r="724" spans="1:13" x14ac:dyDescent="0.3">
      <c r="A724" t="s">
        <v>578</v>
      </c>
      <c r="B724" s="4">
        <v>45891</v>
      </c>
      <c r="C724" t="s">
        <v>577</v>
      </c>
      <c r="D724" t="s">
        <v>3</v>
      </c>
      <c r="E724" t="s">
        <v>2</v>
      </c>
      <c r="F724" t="s">
        <v>23</v>
      </c>
      <c r="G724" t="s">
        <v>12</v>
      </c>
      <c r="H724">
        <v>14</v>
      </c>
      <c r="I724" s="3">
        <v>56419</v>
      </c>
      <c r="J724" s="2">
        <v>0.15</v>
      </c>
      <c r="K724" s="3">
        <v>671386.1</v>
      </c>
      <c r="L724" s="3">
        <v>405047.48</v>
      </c>
      <c r="M724" s="3">
        <v>266338.62</v>
      </c>
    </row>
    <row r="725" spans="1:13" x14ac:dyDescent="0.3">
      <c r="A725" t="s">
        <v>576</v>
      </c>
      <c r="B725" s="4">
        <v>46055</v>
      </c>
      <c r="C725" t="s">
        <v>575</v>
      </c>
      <c r="D725" t="s">
        <v>25</v>
      </c>
      <c r="E725" t="s">
        <v>24</v>
      </c>
      <c r="F725" t="s">
        <v>1</v>
      </c>
      <c r="G725" t="s">
        <v>12</v>
      </c>
      <c r="H725">
        <v>13</v>
      </c>
      <c r="I725" s="3">
        <v>62925</v>
      </c>
      <c r="J725" s="2">
        <v>0</v>
      </c>
      <c r="K725" s="3">
        <v>818025</v>
      </c>
      <c r="L725" s="3">
        <v>427805.11</v>
      </c>
      <c r="M725" s="3">
        <v>390219.89</v>
      </c>
    </row>
    <row r="726" spans="1:13" x14ac:dyDescent="0.3">
      <c r="A726" t="s">
        <v>574</v>
      </c>
      <c r="B726" s="4">
        <v>45989</v>
      </c>
      <c r="C726" t="s">
        <v>573</v>
      </c>
      <c r="D726" t="s">
        <v>28</v>
      </c>
      <c r="E726" t="s">
        <v>8</v>
      </c>
      <c r="F726" t="s">
        <v>33</v>
      </c>
      <c r="G726" t="s">
        <v>20</v>
      </c>
      <c r="H726">
        <v>13</v>
      </c>
      <c r="I726" s="3">
        <v>62398</v>
      </c>
      <c r="J726" s="2">
        <v>0.05</v>
      </c>
      <c r="K726" s="3">
        <v>770615.3</v>
      </c>
      <c r="L726" s="3">
        <v>553191.5</v>
      </c>
      <c r="M726" s="3">
        <v>217423.8</v>
      </c>
    </row>
    <row r="727" spans="1:13" x14ac:dyDescent="0.3">
      <c r="A727" t="s">
        <v>572</v>
      </c>
      <c r="B727" s="4">
        <v>45994</v>
      </c>
      <c r="C727" t="s">
        <v>571</v>
      </c>
      <c r="D727" t="s">
        <v>25</v>
      </c>
      <c r="E727" t="s">
        <v>24</v>
      </c>
      <c r="F727" t="s">
        <v>33</v>
      </c>
      <c r="G727" t="s">
        <v>12</v>
      </c>
      <c r="H727">
        <v>1</v>
      </c>
      <c r="I727" s="3">
        <v>26260</v>
      </c>
      <c r="J727" s="2">
        <v>0.2</v>
      </c>
      <c r="K727" s="3">
        <v>21008</v>
      </c>
      <c r="L727" s="3">
        <v>12090.65</v>
      </c>
      <c r="M727" s="3">
        <v>8917.35</v>
      </c>
    </row>
    <row r="728" spans="1:13" x14ac:dyDescent="0.3">
      <c r="A728" t="s">
        <v>570</v>
      </c>
      <c r="B728" s="4">
        <v>45856</v>
      </c>
      <c r="C728" t="s">
        <v>569</v>
      </c>
      <c r="D728" t="s">
        <v>34</v>
      </c>
      <c r="E728" t="s">
        <v>24</v>
      </c>
      <c r="F728" t="s">
        <v>23</v>
      </c>
      <c r="G728" t="s">
        <v>37</v>
      </c>
      <c r="H728">
        <v>7</v>
      </c>
      <c r="I728" s="3">
        <v>69399</v>
      </c>
      <c r="J728" s="2">
        <v>0.2</v>
      </c>
      <c r="K728" s="3">
        <v>388634.4</v>
      </c>
      <c r="L728" s="3">
        <v>239455.69</v>
      </c>
      <c r="M728" s="3">
        <v>149178.71</v>
      </c>
    </row>
    <row r="729" spans="1:13" x14ac:dyDescent="0.3">
      <c r="A729" t="s">
        <v>568</v>
      </c>
      <c r="B729" s="4">
        <v>46035</v>
      </c>
      <c r="C729" t="s">
        <v>567</v>
      </c>
      <c r="D729" t="s">
        <v>53</v>
      </c>
      <c r="E729" t="s">
        <v>2</v>
      </c>
      <c r="F729" t="s">
        <v>33</v>
      </c>
      <c r="G729" t="s">
        <v>20</v>
      </c>
      <c r="H729">
        <v>1</v>
      </c>
      <c r="I729" s="3">
        <v>29964</v>
      </c>
      <c r="J729" s="2">
        <v>0.2</v>
      </c>
      <c r="K729" s="3">
        <v>23971.200000000001</v>
      </c>
      <c r="L729" s="3">
        <v>14425.44</v>
      </c>
      <c r="M729" s="3">
        <v>9545.76</v>
      </c>
    </row>
    <row r="730" spans="1:13" x14ac:dyDescent="0.3">
      <c r="A730" t="s">
        <v>566</v>
      </c>
      <c r="B730" s="4">
        <v>45748</v>
      </c>
      <c r="C730" t="s">
        <v>565</v>
      </c>
      <c r="D730" t="s">
        <v>3</v>
      </c>
      <c r="E730" t="s">
        <v>2</v>
      </c>
      <c r="F730" t="s">
        <v>23</v>
      </c>
      <c r="G730" t="s">
        <v>12</v>
      </c>
      <c r="H730">
        <v>4</v>
      </c>
      <c r="I730" s="3">
        <v>41781</v>
      </c>
      <c r="J730" s="2">
        <v>0.1</v>
      </c>
      <c r="K730" s="3">
        <v>150411.6</v>
      </c>
      <c r="L730" s="3">
        <v>82114.2</v>
      </c>
      <c r="M730" s="3">
        <v>68297.399999999994</v>
      </c>
    </row>
    <row r="731" spans="1:13" x14ac:dyDescent="0.3">
      <c r="A731" t="s">
        <v>564</v>
      </c>
      <c r="B731" s="4">
        <v>45895</v>
      </c>
      <c r="C731" t="s">
        <v>563</v>
      </c>
      <c r="D731" t="s">
        <v>56</v>
      </c>
      <c r="E731" t="s">
        <v>24</v>
      </c>
      <c r="F731" t="s">
        <v>7</v>
      </c>
      <c r="G731" t="s">
        <v>37</v>
      </c>
      <c r="H731">
        <v>14</v>
      </c>
      <c r="I731" s="3">
        <v>41590</v>
      </c>
      <c r="J731" s="2">
        <v>0.15</v>
      </c>
      <c r="K731" s="3">
        <v>494921</v>
      </c>
      <c r="L731" s="3">
        <v>302104.37</v>
      </c>
      <c r="M731" s="3">
        <v>192816.63</v>
      </c>
    </row>
    <row r="732" spans="1:13" x14ac:dyDescent="0.3">
      <c r="A732" t="s">
        <v>562</v>
      </c>
      <c r="B732" s="4">
        <v>45539</v>
      </c>
      <c r="C732" t="s">
        <v>561</v>
      </c>
      <c r="D732" t="s">
        <v>28</v>
      </c>
      <c r="E732" t="s">
        <v>8</v>
      </c>
      <c r="F732" t="s">
        <v>1</v>
      </c>
      <c r="G732" t="s">
        <v>12</v>
      </c>
      <c r="H732">
        <v>2</v>
      </c>
      <c r="I732" s="3">
        <v>39464</v>
      </c>
      <c r="J732" s="2">
        <v>0</v>
      </c>
      <c r="K732" s="3">
        <v>78928</v>
      </c>
      <c r="L732" s="3">
        <v>48442.9</v>
      </c>
      <c r="M732" s="3">
        <v>30485.1</v>
      </c>
    </row>
    <row r="733" spans="1:13" x14ac:dyDescent="0.3">
      <c r="A733" t="s">
        <v>560</v>
      </c>
      <c r="B733" s="4">
        <v>46111</v>
      </c>
      <c r="C733" t="s">
        <v>559</v>
      </c>
      <c r="D733" t="s">
        <v>53</v>
      </c>
      <c r="E733" t="s">
        <v>2</v>
      </c>
      <c r="F733" t="s">
        <v>7</v>
      </c>
      <c r="G733" t="s">
        <v>37</v>
      </c>
      <c r="H733">
        <v>15</v>
      </c>
      <c r="I733" s="3">
        <v>33135</v>
      </c>
      <c r="J733" s="2">
        <v>0.15</v>
      </c>
      <c r="K733" s="3">
        <v>422471.25</v>
      </c>
      <c r="L733" s="3">
        <v>215705.17</v>
      </c>
      <c r="M733" s="3">
        <v>206766.07999999999</v>
      </c>
    </row>
    <row r="734" spans="1:13" x14ac:dyDescent="0.3">
      <c r="A734" t="s">
        <v>558</v>
      </c>
      <c r="B734" s="4">
        <v>45709</v>
      </c>
      <c r="C734" t="s">
        <v>557</v>
      </c>
      <c r="D734" t="s">
        <v>9</v>
      </c>
      <c r="E734" t="s">
        <v>8</v>
      </c>
      <c r="F734" t="s">
        <v>23</v>
      </c>
      <c r="G734" t="s">
        <v>37</v>
      </c>
      <c r="H734">
        <v>9</v>
      </c>
      <c r="I734" s="3">
        <v>48557</v>
      </c>
      <c r="J734" s="2">
        <v>0.15</v>
      </c>
      <c r="K734" s="3">
        <v>371461.05</v>
      </c>
      <c r="L734" s="3">
        <v>254540.56</v>
      </c>
      <c r="M734" s="3">
        <v>116920.49</v>
      </c>
    </row>
    <row r="735" spans="1:13" x14ac:dyDescent="0.3">
      <c r="A735" t="s">
        <v>556</v>
      </c>
      <c r="B735" s="4">
        <v>46027</v>
      </c>
      <c r="C735" t="s">
        <v>555</v>
      </c>
      <c r="D735" t="s">
        <v>42</v>
      </c>
      <c r="E735" t="s">
        <v>8</v>
      </c>
      <c r="F735" t="s">
        <v>7</v>
      </c>
      <c r="G735" t="s">
        <v>6</v>
      </c>
      <c r="H735">
        <v>10</v>
      </c>
      <c r="I735" s="3">
        <v>51728</v>
      </c>
      <c r="J735" s="2">
        <v>0.15</v>
      </c>
      <c r="K735" s="3">
        <v>439688</v>
      </c>
      <c r="L735" s="3">
        <v>294254.46000000002</v>
      </c>
      <c r="M735" s="3">
        <v>145433.54</v>
      </c>
    </row>
    <row r="736" spans="1:13" x14ac:dyDescent="0.3">
      <c r="A736" t="s">
        <v>554</v>
      </c>
      <c r="B736" s="4">
        <v>45619</v>
      </c>
      <c r="C736" t="s">
        <v>553</v>
      </c>
      <c r="D736" t="s">
        <v>42</v>
      </c>
      <c r="E736" t="s">
        <v>8</v>
      </c>
      <c r="F736" t="s">
        <v>33</v>
      </c>
      <c r="G736" t="s">
        <v>6</v>
      </c>
      <c r="H736">
        <v>8</v>
      </c>
      <c r="I736" s="3">
        <v>42712</v>
      </c>
      <c r="J736" s="2">
        <v>0.15</v>
      </c>
      <c r="K736" s="3">
        <v>290441.59999999998</v>
      </c>
      <c r="L736" s="3">
        <v>240578.87</v>
      </c>
      <c r="M736" s="3">
        <v>49862.73</v>
      </c>
    </row>
    <row r="737" spans="1:13" x14ac:dyDescent="0.3">
      <c r="A737" t="s">
        <v>552</v>
      </c>
      <c r="B737" s="4">
        <v>45994</v>
      </c>
      <c r="C737" t="s">
        <v>551</v>
      </c>
      <c r="D737" t="s">
        <v>34</v>
      </c>
      <c r="E737" t="s">
        <v>24</v>
      </c>
      <c r="F737" t="s">
        <v>33</v>
      </c>
      <c r="G737" t="s">
        <v>37</v>
      </c>
      <c r="H737">
        <v>8</v>
      </c>
      <c r="I737" s="3">
        <v>42245</v>
      </c>
      <c r="J737" s="2">
        <v>0.2</v>
      </c>
      <c r="K737" s="3">
        <v>270368</v>
      </c>
      <c r="L737" s="3">
        <v>140015.10999999999</v>
      </c>
      <c r="M737" s="3">
        <v>130352.89</v>
      </c>
    </row>
    <row r="738" spans="1:13" x14ac:dyDescent="0.3">
      <c r="A738" t="s">
        <v>550</v>
      </c>
      <c r="B738" s="4">
        <v>45688</v>
      </c>
      <c r="C738" t="s">
        <v>549</v>
      </c>
      <c r="D738" t="s">
        <v>28</v>
      </c>
      <c r="E738" t="s">
        <v>8</v>
      </c>
      <c r="F738" t="s">
        <v>33</v>
      </c>
      <c r="G738" t="s">
        <v>6</v>
      </c>
      <c r="H738">
        <v>3</v>
      </c>
      <c r="I738" s="3">
        <v>5899</v>
      </c>
      <c r="J738" s="2">
        <v>0.2</v>
      </c>
      <c r="K738" s="3">
        <v>14157.6</v>
      </c>
      <c r="L738" s="3">
        <v>7717.78</v>
      </c>
      <c r="M738" s="3">
        <v>6439.82</v>
      </c>
    </row>
    <row r="739" spans="1:13" x14ac:dyDescent="0.3">
      <c r="A739" t="s">
        <v>548</v>
      </c>
      <c r="B739" s="4">
        <v>45958</v>
      </c>
      <c r="C739" t="s">
        <v>547</v>
      </c>
      <c r="D739" t="s">
        <v>42</v>
      </c>
      <c r="E739" t="s">
        <v>8</v>
      </c>
      <c r="F739" t="s">
        <v>23</v>
      </c>
      <c r="G739" t="s">
        <v>12</v>
      </c>
      <c r="H739">
        <v>5</v>
      </c>
      <c r="I739" s="3">
        <v>9983</v>
      </c>
      <c r="J739" s="2">
        <v>0.1</v>
      </c>
      <c r="K739" s="3">
        <v>44923.5</v>
      </c>
      <c r="L739" s="3">
        <v>29338.36</v>
      </c>
      <c r="M739" s="3">
        <v>15585.14</v>
      </c>
    </row>
    <row r="740" spans="1:13" x14ac:dyDescent="0.3">
      <c r="A740" t="s">
        <v>546</v>
      </c>
      <c r="B740" s="4">
        <v>45450</v>
      </c>
      <c r="C740" t="s">
        <v>545</v>
      </c>
      <c r="D740" t="s">
        <v>34</v>
      </c>
      <c r="E740" t="s">
        <v>24</v>
      </c>
      <c r="F740" t="s">
        <v>1</v>
      </c>
      <c r="G740" t="s">
        <v>20</v>
      </c>
      <c r="H740">
        <v>2</v>
      </c>
      <c r="I740" s="3">
        <v>7714</v>
      </c>
      <c r="J740" s="2">
        <v>0</v>
      </c>
      <c r="K740" s="3">
        <v>15428</v>
      </c>
      <c r="L740" s="3">
        <v>9269.2999999999993</v>
      </c>
      <c r="M740" s="3">
        <v>6158.7</v>
      </c>
    </row>
    <row r="741" spans="1:13" x14ac:dyDescent="0.3">
      <c r="A741" t="s">
        <v>544</v>
      </c>
      <c r="B741" s="4">
        <v>45450</v>
      </c>
      <c r="C741" t="s">
        <v>543</v>
      </c>
      <c r="D741" t="s">
        <v>53</v>
      </c>
      <c r="E741" t="s">
        <v>2</v>
      </c>
      <c r="F741" t="s">
        <v>13</v>
      </c>
      <c r="G741" t="s">
        <v>16</v>
      </c>
      <c r="H741">
        <v>2</v>
      </c>
      <c r="I741" s="3">
        <v>42419</v>
      </c>
      <c r="J741" s="2">
        <v>0.05</v>
      </c>
      <c r="K741" s="3">
        <v>80596.100000000006</v>
      </c>
      <c r="L741" s="3">
        <v>63387.79</v>
      </c>
      <c r="M741" s="3">
        <v>17208.310000000001</v>
      </c>
    </row>
    <row r="742" spans="1:13" x14ac:dyDescent="0.3">
      <c r="A742" t="s">
        <v>542</v>
      </c>
      <c r="B742" s="4">
        <v>46157</v>
      </c>
      <c r="C742" t="s">
        <v>541</v>
      </c>
      <c r="D742" t="s">
        <v>3</v>
      </c>
      <c r="E742" t="s">
        <v>2</v>
      </c>
      <c r="F742" t="s">
        <v>7</v>
      </c>
      <c r="G742" t="s">
        <v>37</v>
      </c>
      <c r="H742">
        <v>3</v>
      </c>
      <c r="I742" s="3">
        <v>51708</v>
      </c>
      <c r="J742" s="2">
        <v>0.15</v>
      </c>
      <c r="K742" s="3">
        <v>131855.4</v>
      </c>
      <c r="L742" s="3">
        <v>98597.07</v>
      </c>
      <c r="M742" s="3">
        <v>33258.33</v>
      </c>
    </row>
    <row r="743" spans="1:13" x14ac:dyDescent="0.3">
      <c r="A743" t="s">
        <v>540</v>
      </c>
      <c r="B743" s="4">
        <v>45546</v>
      </c>
      <c r="C743" t="s">
        <v>539</v>
      </c>
      <c r="D743" t="s">
        <v>17</v>
      </c>
      <c r="E743" t="s">
        <v>2</v>
      </c>
      <c r="F743" t="s">
        <v>33</v>
      </c>
      <c r="G743" t="s">
        <v>16</v>
      </c>
      <c r="H743">
        <v>9</v>
      </c>
      <c r="I743" s="3">
        <v>16332</v>
      </c>
      <c r="J743" s="2">
        <v>0</v>
      </c>
      <c r="K743" s="3">
        <v>146988</v>
      </c>
      <c r="L743" s="3">
        <v>86847.73</v>
      </c>
      <c r="M743" s="3">
        <v>60140.27</v>
      </c>
    </row>
    <row r="744" spans="1:13" x14ac:dyDescent="0.3">
      <c r="A744" t="s">
        <v>538</v>
      </c>
      <c r="B744" s="4">
        <v>46025</v>
      </c>
      <c r="C744" t="s">
        <v>537</v>
      </c>
      <c r="D744" t="s">
        <v>3</v>
      </c>
      <c r="E744" t="s">
        <v>2</v>
      </c>
      <c r="F744" t="s">
        <v>1</v>
      </c>
      <c r="G744" t="s">
        <v>6</v>
      </c>
      <c r="H744">
        <v>10</v>
      </c>
      <c r="I744" s="3">
        <v>38841</v>
      </c>
      <c r="J744" s="2">
        <v>0.15</v>
      </c>
      <c r="K744" s="3">
        <v>330148.5</v>
      </c>
      <c r="L744" s="3">
        <v>210509.47</v>
      </c>
      <c r="M744" s="3">
        <v>119639.03</v>
      </c>
    </row>
    <row r="745" spans="1:13" x14ac:dyDescent="0.3">
      <c r="A745" t="s">
        <v>536</v>
      </c>
      <c r="B745" s="4">
        <v>45699</v>
      </c>
      <c r="C745" t="s">
        <v>535</v>
      </c>
      <c r="D745" t="s">
        <v>53</v>
      </c>
      <c r="E745" t="s">
        <v>2</v>
      </c>
      <c r="F745" t="s">
        <v>13</v>
      </c>
      <c r="G745" t="s">
        <v>0</v>
      </c>
      <c r="H745">
        <v>4</v>
      </c>
      <c r="I745" s="3">
        <v>65362</v>
      </c>
      <c r="J745" s="2">
        <v>0</v>
      </c>
      <c r="K745" s="3">
        <v>261448</v>
      </c>
      <c r="L745" s="3">
        <v>210099.03</v>
      </c>
      <c r="M745" s="3">
        <v>51348.97</v>
      </c>
    </row>
    <row r="746" spans="1:13" x14ac:dyDescent="0.3">
      <c r="A746" t="s">
        <v>534</v>
      </c>
      <c r="B746" s="4">
        <v>46084</v>
      </c>
      <c r="C746" t="s">
        <v>533</v>
      </c>
      <c r="D746" t="s">
        <v>3</v>
      </c>
      <c r="E746" t="s">
        <v>2</v>
      </c>
      <c r="F746" t="s">
        <v>1</v>
      </c>
      <c r="G746" t="s">
        <v>20</v>
      </c>
      <c r="H746">
        <v>5</v>
      </c>
      <c r="I746" s="3">
        <v>68216</v>
      </c>
      <c r="J746" s="2">
        <v>0.15</v>
      </c>
      <c r="K746" s="3">
        <v>289918</v>
      </c>
      <c r="L746" s="3">
        <v>227571.37</v>
      </c>
      <c r="M746" s="3">
        <v>62346.63</v>
      </c>
    </row>
    <row r="747" spans="1:13" x14ac:dyDescent="0.3">
      <c r="A747" t="s">
        <v>532</v>
      </c>
      <c r="B747" s="4">
        <v>45961</v>
      </c>
      <c r="C747" t="s">
        <v>531</v>
      </c>
      <c r="D747" t="s">
        <v>56</v>
      </c>
      <c r="E747" t="s">
        <v>24</v>
      </c>
      <c r="F747" t="s">
        <v>23</v>
      </c>
      <c r="G747" t="s">
        <v>37</v>
      </c>
      <c r="H747">
        <v>3</v>
      </c>
      <c r="I747" s="3">
        <v>45774</v>
      </c>
      <c r="J747" s="2">
        <v>0.05</v>
      </c>
      <c r="K747" s="3">
        <v>130455.9</v>
      </c>
      <c r="L747" s="3">
        <v>95347.35</v>
      </c>
      <c r="M747" s="3">
        <v>35108.550000000003</v>
      </c>
    </row>
    <row r="748" spans="1:13" x14ac:dyDescent="0.3">
      <c r="A748" t="s">
        <v>530</v>
      </c>
      <c r="B748" s="4">
        <v>45972</v>
      </c>
      <c r="C748" t="s">
        <v>529</v>
      </c>
      <c r="D748" t="s">
        <v>53</v>
      </c>
      <c r="E748" t="s">
        <v>2</v>
      </c>
      <c r="F748" t="s">
        <v>23</v>
      </c>
      <c r="G748" t="s">
        <v>0</v>
      </c>
      <c r="H748">
        <v>6</v>
      </c>
      <c r="I748" s="3">
        <v>2365</v>
      </c>
      <c r="J748" s="2">
        <v>0.1</v>
      </c>
      <c r="K748" s="3">
        <v>12771</v>
      </c>
      <c r="L748" s="3">
        <v>9096.58</v>
      </c>
      <c r="M748" s="3">
        <v>3674.42</v>
      </c>
    </row>
    <row r="749" spans="1:13" x14ac:dyDescent="0.3">
      <c r="A749" t="s">
        <v>528</v>
      </c>
      <c r="B749" s="4">
        <v>45908</v>
      </c>
      <c r="C749" t="s">
        <v>527</v>
      </c>
      <c r="D749" t="s">
        <v>17</v>
      </c>
      <c r="E749" t="s">
        <v>2</v>
      </c>
      <c r="F749" t="s">
        <v>13</v>
      </c>
      <c r="G749" t="s">
        <v>0</v>
      </c>
      <c r="H749">
        <v>14</v>
      </c>
      <c r="I749" s="3">
        <v>35862</v>
      </c>
      <c r="J749" s="2">
        <v>0.1</v>
      </c>
      <c r="K749" s="3">
        <v>451861.2</v>
      </c>
      <c r="L749" s="3">
        <v>273624.07</v>
      </c>
      <c r="M749" s="3">
        <v>178237.13</v>
      </c>
    </row>
    <row r="750" spans="1:13" x14ac:dyDescent="0.3">
      <c r="A750" t="s">
        <v>526</v>
      </c>
      <c r="B750" s="4">
        <v>45675</v>
      </c>
      <c r="C750" t="s">
        <v>525</v>
      </c>
      <c r="D750" t="s">
        <v>56</v>
      </c>
      <c r="E750" t="s">
        <v>24</v>
      </c>
      <c r="F750" t="s">
        <v>33</v>
      </c>
      <c r="G750" t="s">
        <v>6</v>
      </c>
      <c r="H750">
        <v>5</v>
      </c>
      <c r="I750" s="3">
        <v>15449</v>
      </c>
      <c r="J750" s="2">
        <v>0.05</v>
      </c>
      <c r="K750" s="3">
        <v>73382.75</v>
      </c>
      <c r="L750" s="3">
        <v>37014.76</v>
      </c>
      <c r="M750" s="3">
        <v>36367.99</v>
      </c>
    </row>
    <row r="751" spans="1:13" x14ac:dyDescent="0.3">
      <c r="A751" t="s">
        <v>524</v>
      </c>
      <c r="B751" s="4">
        <v>45565</v>
      </c>
      <c r="C751" t="s">
        <v>523</v>
      </c>
      <c r="D751" t="s">
        <v>42</v>
      </c>
      <c r="E751" t="s">
        <v>8</v>
      </c>
      <c r="F751" t="s">
        <v>7</v>
      </c>
      <c r="G751" t="s">
        <v>0</v>
      </c>
      <c r="H751">
        <v>14</v>
      </c>
      <c r="I751" s="3">
        <v>7844</v>
      </c>
      <c r="J751" s="2">
        <v>0.05</v>
      </c>
      <c r="K751" s="3">
        <v>104325.2</v>
      </c>
      <c r="L751" s="3">
        <v>79724.69</v>
      </c>
      <c r="M751" s="3">
        <v>24600.51</v>
      </c>
    </row>
    <row r="752" spans="1:13" x14ac:dyDescent="0.3">
      <c r="A752" t="s">
        <v>522</v>
      </c>
      <c r="B752" s="4">
        <v>45797</v>
      </c>
      <c r="C752" t="s">
        <v>521</v>
      </c>
      <c r="D752" t="s">
        <v>9</v>
      </c>
      <c r="E752" t="s">
        <v>8</v>
      </c>
      <c r="F752" t="s">
        <v>1</v>
      </c>
      <c r="G752" t="s">
        <v>12</v>
      </c>
      <c r="H752">
        <v>6</v>
      </c>
      <c r="I752" s="3">
        <v>50895</v>
      </c>
      <c r="J752" s="2">
        <v>0.15</v>
      </c>
      <c r="K752" s="3">
        <v>259564.5</v>
      </c>
      <c r="L752" s="3">
        <v>206067.18</v>
      </c>
      <c r="M752" s="3">
        <v>53497.32</v>
      </c>
    </row>
    <row r="753" spans="1:13" x14ac:dyDescent="0.3">
      <c r="A753" t="s">
        <v>520</v>
      </c>
      <c r="B753" s="4">
        <v>45883</v>
      </c>
      <c r="C753" t="s">
        <v>519</v>
      </c>
      <c r="D753" t="s">
        <v>9</v>
      </c>
      <c r="E753" t="s">
        <v>8</v>
      </c>
      <c r="F753" t="s">
        <v>1</v>
      </c>
      <c r="G753" t="s">
        <v>0</v>
      </c>
      <c r="H753">
        <v>6</v>
      </c>
      <c r="I753" s="3">
        <v>8189</v>
      </c>
      <c r="J753" s="2">
        <v>0.1</v>
      </c>
      <c r="K753" s="3">
        <v>44220.6</v>
      </c>
      <c r="L753" s="3">
        <v>35976.120000000003</v>
      </c>
      <c r="M753" s="3">
        <v>8244.48</v>
      </c>
    </row>
    <row r="754" spans="1:13" x14ac:dyDescent="0.3">
      <c r="A754" t="s">
        <v>518</v>
      </c>
      <c r="B754" s="4">
        <v>45906</v>
      </c>
      <c r="C754" t="s">
        <v>517</v>
      </c>
      <c r="D754" t="s">
        <v>53</v>
      </c>
      <c r="E754" t="s">
        <v>2</v>
      </c>
      <c r="F754" t="s">
        <v>13</v>
      </c>
      <c r="G754" t="s">
        <v>16</v>
      </c>
      <c r="H754">
        <v>14</v>
      </c>
      <c r="I754" s="3">
        <v>72119</v>
      </c>
      <c r="J754" s="2">
        <v>0</v>
      </c>
      <c r="K754" s="3">
        <v>1009666</v>
      </c>
      <c r="L754" s="3">
        <v>785275.1</v>
      </c>
      <c r="M754" s="3">
        <v>224390.9</v>
      </c>
    </row>
    <row r="755" spans="1:13" x14ac:dyDescent="0.3">
      <c r="A755" t="s">
        <v>516</v>
      </c>
      <c r="B755" s="4">
        <v>45645</v>
      </c>
      <c r="C755" t="s">
        <v>515</v>
      </c>
      <c r="D755" t="s">
        <v>56</v>
      </c>
      <c r="E755" t="s">
        <v>24</v>
      </c>
      <c r="F755" t="s">
        <v>7</v>
      </c>
      <c r="G755" t="s">
        <v>12</v>
      </c>
      <c r="H755">
        <v>13</v>
      </c>
      <c r="I755" s="3">
        <v>61527</v>
      </c>
      <c r="J755" s="2">
        <v>0.05</v>
      </c>
      <c r="K755" s="3">
        <v>759858.45</v>
      </c>
      <c r="L755" s="3">
        <v>573924.53</v>
      </c>
      <c r="M755" s="3">
        <v>185933.92</v>
      </c>
    </row>
    <row r="756" spans="1:13" x14ac:dyDescent="0.3">
      <c r="A756" t="s">
        <v>514</v>
      </c>
      <c r="B756" s="4">
        <v>45711</v>
      </c>
      <c r="C756" t="s">
        <v>513</v>
      </c>
      <c r="D756" t="s">
        <v>3</v>
      </c>
      <c r="E756" t="s">
        <v>2</v>
      </c>
      <c r="F756" t="s">
        <v>23</v>
      </c>
      <c r="G756" t="s">
        <v>12</v>
      </c>
      <c r="H756">
        <v>2</v>
      </c>
      <c r="I756" s="3">
        <v>43878</v>
      </c>
      <c r="J756" s="2">
        <v>0</v>
      </c>
      <c r="K756" s="3">
        <v>87756</v>
      </c>
      <c r="L756" s="3">
        <v>71614.539999999994</v>
      </c>
      <c r="M756" s="3">
        <v>16141.46</v>
      </c>
    </row>
    <row r="757" spans="1:13" x14ac:dyDescent="0.3">
      <c r="A757" t="s">
        <v>512</v>
      </c>
      <c r="B757" s="4">
        <v>45976</v>
      </c>
      <c r="C757" t="s">
        <v>511</v>
      </c>
      <c r="D757" t="s">
        <v>25</v>
      </c>
      <c r="E757" t="s">
        <v>24</v>
      </c>
      <c r="F757" t="s">
        <v>1</v>
      </c>
      <c r="G757" t="s">
        <v>16</v>
      </c>
      <c r="H757">
        <v>10</v>
      </c>
      <c r="I757" s="3">
        <v>9868</v>
      </c>
      <c r="J757" s="2">
        <v>0.15</v>
      </c>
      <c r="K757" s="3">
        <v>83878</v>
      </c>
      <c r="L757" s="3">
        <v>63695.87</v>
      </c>
      <c r="M757" s="3">
        <v>20182.13</v>
      </c>
    </row>
    <row r="758" spans="1:13" x14ac:dyDescent="0.3">
      <c r="A758" t="s">
        <v>510</v>
      </c>
      <c r="B758" s="4">
        <v>46111</v>
      </c>
      <c r="C758" t="s">
        <v>509</v>
      </c>
      <c r="D758" t="s">
        <v>28</v>
      </c>
      <c r="E758" t="s">
        <v>8</v>
      </c>
      <c r="F758" t="s">
        <v>13</v>
      </c>
      <c r="G758" t="s">
        <v>16</v>
      </c>
      <c r="H758">
        <v>5</v>
      </c>
      <c r="I758" s="3">
        <v>63475</v>
      </c>
      <c r="J758" s="2">
        <v>0.15</v>
      </c>
      <c r="K758" s="3">
        <v>269768.75</v>
      </c>
      <c r="L758" s="3">
        <v>164143.13</v>
      </c>
      <c r="M758" s="3">
        <v>105625.62</v>
      </c>
    </row>
    <row r="759" spans="1:13" x14ac:dyDescent="0.3">
      <c r="A759" t="s">
        <v>508</v>
      </c>
      <c r="B759" s="4">
        <v>45510</v>
      </c>
      <c r="C759" t="s">
        <v>507</v>
      </c>
      <c r="D759" t="s">
        <v>56</v>
      </c>
      <c r="E759" t="s">
        <v>24</v>
      </c>
      <c r="F759" t="s">
        <v>23</v>
      </c>
      <c r="G759" t="s">
        <v>20</v>
      </c>
      <c r="H759">
        <v>12</v>
      </c>
      <c r="I759" s="3">
        <v>41832</v>
      </c>
      <c r="J759" s="2">
        <v>0.1</v>
      </c>
      <c r="K759" s="3">
        <v>451785.6</v>
      </c>
      <c r="L759" s="3">
        <v>316540.79999999999</v>
      </c>
      <c r="M759" s="3">
        <v>135244.79999999999</v>
      </c>
    </row>
    <row r="760" spans="1:13" x14ac:dyDescent="0.3">
      <c r="A760" t="s">
        <v>506</v>
      </c>
      <c r="B760" s="4">
        <v>46111</v>
      </c>
      <c r="C760" t="s">
        <v>505</v>
      </c>
      <c r="D760" t="s">
        <v>9</v>
      </c>
      <c r="E760" t="s">
        <v>8</v>
      </c>
      <c r="F760" t="s">
        <v>1</v>
      </c>
      <c r="G760" t="s">
        <v>12</v>
      </c>
      <c r="H760">
        <v>2</v>
      </c>
      <c r="I760" s="3">
        <v>64442</v>
      </c>
      <c r="J760" s="2">
        <v>0.15</v>
      </c>
      <c r="K760" s="3">
        <v>109551.4</v>
      </c>
      <c r="L760" s="3">
        <v>70742.240000000005</v>
      </c>
      <c r="M760" s="3">
        <v>38809.160000000003</v>
      </c>
    </row>
    <row r="761" spans="1:13" x14ac:dyDescent="0.3">
      <c r="A761" t="s">
        <v>504</v>
      </c>
      <c r="B761" s="4">
        <v>46026</v>
      </c>
      <c r="C761" t="s">
        <v>503</v>
      </c>
      <c r="D761" t="s">
        <v>17</v>
      </c>
      <c r="E761" t="s">
        <v>2</v>
      </c>
      <c r="F761" t="s">
        <v>13</v>
      </c>
      <c r="G761" t="s">
        <v>37</v>
      </c>
      <c r="H761">
        <v>9</v>
      </c>
      <c r="I761" s="3">
        <v>48615</v>
      </c>
      <c r="J761" s="2">
        <v>0</v>
      </c>
      <c r="K761" s="3">
        <v>437535</v>
      </c>
      <c r="L761" s="3">
        <v>319040.46999999997</v>
      </c>
      <c r="M761" s="3">
        <v>118494.53</v>
      </c>
    </row>
    <row r="762" spans="1:13" x14ac:dyDescent="0.3">
      <c r="A762" t="s">
        <v>502</v>
      </c>
      <c r="B762" s="4">
        <v>45624</v>
      </c>
      <c r="C762" t="s">
        <v>501</v>
      </c>
      <c r="D762" t="s">
        <v>34</v>
      </c>
      <c r="E762" t="s">
        <v>24</v>
      </c>
      <c r="F762" t="s">
        <v>33</v>
      </c>
      <c r="G762" t="s">
        <v>37</v>
      </c>
      <c r="H762">
        <v>10</v>
      </c>
      <c r="I762" s="3">
        <v>57670</v>
      </c>
      <c r="J762" s="2">
        <v>0</v>
      </c>
      <c r="K762" s="3">
        <v>576700</v>
      </c>
      <c r="L762" s="3">
        <v>433168.99</v>
      </c>
      <c r="M762" s="3">
        <v>143531.01</v>
      </c>
    </row>
    <row r="763" spans="1:13" x14ac:dyDescent="0.3">
      <c r="A763" t="s">
        <v>500</v>
      </c>
      <c r="B763" s="4">
        <v>45480</v>
      </c>
      <c r="C763" t="s">
        <v>499</v>
      </c>
      <c r="D763" t="s">
        <v>53</v>
      </c>
      <c r="E763" t="s">
        <v>2</v>
      </c>
      <c r="F763" t="s">
        <v>13</v>
      </c>
      <c r="G763" t="s">
        <v>37</v>
      </c>
      <c r="H763">
        <v>5</v>
      </c>
      <c r="I763" s="3">
        <v>68527</v>
      </c>
      <c r="J763" s="2">
        <v>0.1</v>
      </c>
      <c r="K763" s="3">
        <v>308371.5</v>
      </c>
      <c r="L763" s="3">
        <v>165146.32</v>
      </c>
      <c r="M763" s="3">
        <v>143225.18</v>
      </c>
    </row>
    <row r="764" spans="1:13" x14ac:dyDescent="0.3">
      <c r="A764" t="s">
        <v>498</v>
      </c>
      <c r="B764" s="4">
        <v>46041</v>
      </c>
      <c r="C764" t="s">
        <v>497</v>
      </c>
      <c r="D764" t="s">
        <v>17</v>
      </c>
      <c r="E764" t="s">
        <v>2</v>
      </c>
      <c r="F764" t="s">
        <v>23</v>
      </c>
      <c r="G764" t="s">
        <v>16</v>
      </c>
      <c r="H764">
        <v>15</v>
      </c>
      <c r="I764" s="3">
        <v>57815</v>
      </c>
      <c r="J764" s="2">
        <v>0.05</v>
      </c>
      <c r="K764" s="3">
        <v>823863.75</v>
      </c>
      <c r="L764" s="3">
        <v>521676.37</v>
      </c>
      <c r="M764" s="3">
        <v>302187.38</v>
      </c>
    </row>
    <row r="765" spans="1:13" x14ac:dyDescent="0.3">
      <c r="A765" t="s">
        <v>496</v>
      </c>
      <c r="B765" s="4">
        <v>45705</v>
      </c>
      <c r="C765" t="s">
        <v>495</v>
      </c>
      <c r="D765" t="s">
        <v>17</v>
      </c>
      <c r="E765" t="s">
        <v>2</v>
      </c>
      <c r="F765" t="s">
        <v>1</v>
      </c>
      <c r="G765" t="s">
        <v>16</v>
      </c>
      <c r="H765">
        <v>5</v>
      </c>
      <c r="I765" s="3">
        <v>44127</v>
      </c>
      <c r="J765" s="2">
        <v>0.2</v>
      </c>
      <c r="K765" s="3">
        <v>176508</v>
      </c>
      <c r="L765" s="3">
        <v>133487.96</v>
      </c>
      <c r="M765" s="3">
        <v>43020.04</v>
      </c>
    </row>
    <row r="766" spans="1:13" x14ac:dyDescent="0.3">
      <c r="A766" t="s">
        <v>494</v>
      </c>
      <c r="B766" s="4">
        <v>45955</v>
      </c>
      <c r="C766" t="s">
        <v>493</v>
      </c>
      <c r="D766" t="s">
        <v>9</v>
      </c>
      <c r="E766" t="s">
        <v>8</v>
      </c>
      <c r="F766" t="s">
        <v>13</v>
      </c>
      <c r="G766" t="s">
        <v>12</v>
      </c>
      <c r="H766">
        <v>1</v>
      </c>
      <c r="I766" s="3">
        <v>19776</v>
      </c>
      <c r="J766" s="2">
        <v>0.2</v>
      </c>
      <c r="K766" s="3">
        <v>15820.8</v>
      </c>
      <c r="L766" s="3">
        <v>13207.72</v>
      </c>
      <c r="M766" s="3">
        <v>2613.08</v>
      </c>
    </row>
    <row r="767" spans="1:13" x14ac:dyDescent="0.3">
      <c r="A767" t="s">
        <v>492</v>
      </c>
      <c r="B767" s="4">
        <v>45668</v>
      </c>
      <c r="C767" t="s">
        <v>491</v>
      </c>
      <c r="D767" t="s">
        <v>3</v>
      </c>
      <c r="E767" t="s">
        <v>2</v>
      </c>
      <c r="F767" t="s">
        <v>7</v>
      </c>
      <c r="G767" t="s">
        <v>37</v>
      </c>
      <c r="H767">
        <v>15</v>
      </c>
      <c r="I767" s="3">
        <v>73271</v>
      </c>
      <c r="J767" s="2">
        <v>0</v>
      </c>
      <c r="K767" s="3">
        <v>1099065</v>
      </c>
      <c r="L767" s="3">
        <v>883609.34</v>
      </c>
      <c r="M767" s="3">
        <v>215455.66</v>
      </c>
    </row>
    <row r="768" spans="1:13" x14ac:dyDescent="0.3">
      <c r="A768" t="s">
        <v>490</v>
      </c>
      <c r="B768" s="4">
        <v>45993</v>
      </c>
      <c r="C768" t="s">
        <v>489</v>
      </c>
      <c r="D768" t="s">
        <v>3</v>
      </c>
      <c r="E768" t="s">
        <v>2</v>
      </c>
      <c r="F768" t="s">
        <v>1</v>
      </c>
      <c r="G768" t="s">
        <v>20</v>
      </c>
      <c r="H768">
        <v>9</v>
      </c>
      <c r="I768" s="3">
        <v>4070</v>
      </c>
      <c r="J768" s="2">
        <v>0.2</v>
      </c>
      <c r="K768" s="3">
        <v>29304</v>
      </c>
      <c r="L768" s="3">
        <v>23381.87</v>
      </c>
      <c r="M768" s="3">
        <v>5922.13</v>
      </c>
    </row>
    <row r="769" spans="1:13" x14ac:dyDescent="0.3">
      <c r="A769" t="s">
        <v>488</v>
      </c>
      <c r="B769" s="4">
        <v>46162</v>
      </c>
      <c r="C769" t="s">
        <v>487</v>
      </c>
      <c r="D769" t="s">
        <v>25</v>
      </c>
      <c r="E769" t="s">
        <v>24</v>
      </c>
      <c r="F769" t="s">
        <v>33</v>
      </c>
      <c r="G769" t="s">
        <v>37</v>
      </c>
      <c r="H769">
        <v>9</v>
      </c>
      <c r="I769" s="3">
        <v>28968</v>
      </c>
      <c r="J769" s="2">
        <v>0.05</v>
      </c>
      <c r="K769" s="3">
        <v>247676.4</v>
      </c>
      <c r="L769" s="3">
        <v>137119.26999999999</v>
      </c>
      <c r="M769" s="3">
        <v>110557.13</v>
      </c>
    </row>
    <row r="770" spans="1:13" x14ac:dyDescent="0.3">
      <c r="A770" t="s">
        <v>486</v>
      </c>
      <c r="B770" s="4">
        <v>46152</v>
      </c>
      <c r="C770" t="s">
        <v>485</v>
      </c>
      <c r="D770" t="s">
        <v>25</v>
      </c>
      <c r="E770" t="s">
        <v>24</v>
      </c>
      <c r="F770" t="s">
        <v>33</v>
      </c>
      <c r="G770" t="s">
        <v>12</v>
      </c>
      <c r="H770">
        <v>10</v>
      </c>
      <c r="I770" s="3">
        <v>34966</v>
      </c>
      <c r="J770" s="2">
        <v>0.2</v>
      </c>
      <c r="K770" s="3">
        <v>279728</v>
      </c>
      <c r="L770" s="3">
        <v>166886.91</v>
      </c>
      <c r="M770" s="3">
        <v>112841.09</v>
      </c>
    </row>
    <row r="771" spans="1:13" x14ac:dyDescent="0.3">
      <c r="A771" t="s">
        <v>484</v>
      </c>
      <c r="B771" s="4">
        <v>45797</v>
      </c>
      <c r="C771" t="s">
        <v>483</v>
      </c>
      <c r="D771" t="s">
        <v>9</v>
      </c>
      <c r="E771" t="s">
        <v>8</v>
      </c>
      <c r="F771" t="s">
        <v>7</v>
      </c>
      <c r="G771" t="s">
        <v>6</v>
      </c>
      <c r="H771">
        <v>8</v>
      </c>
      <c r="I771" s="3">
        <v>8098</v>
      </c>
      <c r="J771" s="2">
        <v>0</v>
      </c>
      <c r="K771" s="3">
        <v>64784</v>
      </c>
      <c r="L771" s="3">
        <v>49937.71</v>
      </c>
      <c r="M771" s="3">
        <v>14846.29</v>
      </c>
    </row>
    <row r="772" spans="1:13" x14ac:dyDescent="0.3">
      <c r="A772" t="s">
        <v>482</v>
      </c>
      <c r="B772" s="4">
        <v>46108</v>
      </c>
      <c r="C772" t="s">
        <v>481</v>
      </c>
      <c r="D772" t="s">
        <v>53</v>
      </c>
      <c r="E772" t="s">
        <v>2</v>
      </c>
      <c r="F772" t="s">
        <v>13</v>
      </c>
      <c r="G772" t="s">
        <v>12</v>
      </c>
      <c r="H772">
        <v>13</v>
      </c>
      <c r="I772" s="3">
        <v>32071</v>
      </c>
      <c r="J772" s="2">
        <v>0.2</v>
      </c>
      <c r="K772" s="3">
        <v>333538.40000000002</v>
      </c>
      <c r="L772" s="3">
        <v>196610.11</v>
      </c>
      <c r="M772" s="3">
        <v>136928.29</v>
      </c>
    </row>
    <row r="773" spans="1:13" x14ac:dyDescent="0.3">
      <c r="A773" t="s">
        <v>480</v>
      </c>
      <c r="B773" s="4">
        <v>45570</v>
      </c>
      <c r="C773" t="s">
        <v>479</v>
      </c>
      <c r="D773" t="s">
        <v>53</v>
      </c>
      <c r="E773" t="s">
        <v>2</v>
      </c>
      <c r="F773" t="s">
        <v>23</v>
      </c>
      <c r="G773" t="s">
        <v>6</v>
      </c>
      <c r="H773">
        <v>3</v>
      </c>
      <c r="I773" s="3">
        <v>27476</v>
      </c>
      <c r="J773" s="2">
        <v>0.2</v>
      </c>
      <c r="K773" s="3">
        <v>65942.399999999994</v>
      </c>
      <c r="L773" s="3">
        <v>49624.08</v>
      </c>
      <c r="M773" s="3">
        <v>16318.32</v>
      </c>
    </row>
    <row r="774" spans="1:13" x14ac:dyDescent="0.3">
      <c r="A774" t="s">
        <v>478</v>
      </c>
      <c r="B774" s="4">
        <v>45561</v>
      </c>
      <c r="C774" t="s">
        <v>477</v>
      </c>
      <c r="D774" t="s">
        <v>34</v>
      </c>
      <c r="E774" t="s">
        <v>24</v>
      </c>
      <c r="F774" t="s">
        <v>33</v>
      </c>
      <c r="G774" t="s">
        <v>20</v>
      </c>
      <c r="H774">
        <v>10</v>
      </c>
      <c r="I774" s="3">
        <v>29290</v>
      </c>
      <c r="J774" s="2">
        <v>0.1</v>
      </c>
      <c r="K774" s="3">
        <v>263610</v>
      </c>
      <c r="L774" s="3">
        <v>208940.99</v>
      </c>
      <c r="M774" s="3">
        <v>54669.01</v>
      </c>
    </row>
    <row r="775" spans="1:13" x14ac:dyDescent="0.3">
      <c r="A775" t="s">
        <v>476</v>
      </c>
      <c r="B775" s="4">
        <v>45471</v>
      </c>
      <c r="C775" t="s">
        <v>475</v>
      </c>
      <c r="D775" t="s">
        <v>17</v>
      </c>
      <c r="E775" t="s">
        <v>2</v>
      </c>
      <c r="F775" t="s">
        <v>13</v>
      </c>
      <c r="G775" t="s">
        <v>6</v>
      </c>
      <c r="H775">
        <v>1</v>
      </c>
      <c r="I775" s="3">
        <v>59015</v>
      </c>
      <c r="J775" s="2">
        <v>0</v>
      </c>
      <c r="K775" s="3">
        <v>59015</v>
      </c>
      <c r="L775" s="3">
        <v>47447.71</v>
      </c>
      <c r="M775" s="3">
        <v>11567.29</v>
      </c>
    </row>
    <row r="776" spans="1:13" x14ac:dyDescent="0.3">
      <c r="A776" t="s">
        <v>474</v>
      </c>
      <c r="B776" s="4">
        <v>46105</v>
      </c>
      <c r="C776" t="s">
        <v>473</v>
      </c>
      <c r="D776" t="s">
        <v>25</v>
      </c>
      <c r="E776" t="s">
        <v>24</v>
      </c>
      <c r="F776" t="s">
        <v>13</v>
      </c>
      <c r="G776" t="s">
        <v>0</v>
      </c>
      <c r="H776">
        <v>6</v>
      </c>
      <c r="I776" s="3">
        <v>61289</v>
      </c>
      <c r="J776" s="2">
        <v>0.05</v>
      </c>
      <c r="K776" s="3">
        <v>349347.3</v>
      </c>
      <c r="L776" s="3">
        <v>252769.63</v>
      </c>
      <c r="M776" s="3">
        <v>96577.67</v>
      </c>
    </row>
    <row r="777" spans="1:13" x14ac:dyDescent="0.3">
      <c r="A777" t="s">
        <v>472</v>
      </c>
      <c r="B777" s="4">
        <v>45478</v>
      </c>
      <c r="C777" t="s">
        <v>471</v>
      </c>
      <c r="D777" t="s">
        <v>34</v>
      </c>
      <c r="E777" t="s">
        <v>24</v>
      </c>
      <c r="F777" t="s">
        <v>33</v>
      </c>
      <c r="G777" t="s">
        <v>0</v>
      </c>
      <c r="H777">
        <v>4</v>
      </c>
      <c r="I777" s="3">
        <v>27066</v>
      </c>
      <c r="J777" s="2">
        <v>0.05</v>
      </c>
      <c r="K777" s="3">
        <v>102850.8</v>
      </c>
      <c r="L777" s="3">
        <v>57229.21</v>
      </c>
      <c r="M777" s="3">
        <v>45621.59</v>
      </c>
    </row>
    <row r="778" spans="1:13" x14ac:dyDescent="0.3">
      <c r="A778" t="s">
        <v>470</v>
      </c>
      <c r="B778" s="4">
        <v>46062</v>
      </c>
      <c r="C778" t="s">
        <v>469</v>
      </c>
      <c r="D778" t="s">
        <v>28</v>
      </c>
      <c r="E778" t="s">
        <v>8</v>
      </c>
      <c r="F778" t="s">
        <v>33</v>
      </c>
      <c r="G778" t="s">
        <v>37</v>
      </c>
      <c r="H778">
        <v>5</v>
      </c>
      <c r="I778" s="3">
        <v>41637</v>
      </c>
      <c r="J778" s="2">
        <v>0.05</v>
      </c>
      <c r="K778" s="3">
        <v>197775.75</v>
      </c>
      <c r="L778" s="3">
        <v>142843.16</v>
      </c>
      <c r="M778" s="3">
        <v>54932.59</v>
      </c>
    </row>
    <row r="779" spans="1:13" x14ac:dyDescent="0.3">
      <c r="A779" t="s">
        <v>468</v>
      </c>
      <c r="B779" s="4">
        <v>45437</v>
      </c>
      <c r="C779" t="s">
        <v>467</v>
      </c>
      <c r="D779" t="s">
        <v>3</v>
      </c>
      <c r="E779" t="s">
        <v>2</v>
      </c>
      <c r="F779" t="s">
        <v>1</v>
      </c>
      <c r="G779" t="s">
        <v>16</v>
      </c>
      <c r="H779">
        <v>10</v>
      </c>
      <c r="I779" s="3">
        <v>42391</v>
      </c>
      <c r="J779" s="2">
        <v>0</v>
      </c>
      <c r="K779" s="3">
        <v>423910</v>
      </c>
      <c r="L779" s="3">
        <v>286815.96000000002</v>
      </c>
      <c r="M779" s="3">
        <v>137094.04</v>
      </c>
    </row>
    <row r="780" spans="1:13" x14ac:dyDescent="0.3">
      <c r="A780" t="s">
        <v>466</v>
      </c>
      <c r="B780" s="4">
        <v>45931</v>
      </c>
      <c r="C780" t="s">
        <v>465</v>
      </c>
      <c r="D780" t="s">
        <v>56</v>
      </c>
      <c r="E780" t="s">
        <v>24</v>
      </c>
      <c r="F780" t="s">
        <v>33</v>
      </c>
      <c r="G780" t="s">
        <v>20</v>
      </c>
      <c r="H780">
        <v>13</v>
      </c>
      <c r="I780" s="3">
        <v>64733</v>
      </c>
      <c r="J780" s="2">
        <v>0.15</v>
      </c>
      <c r="K780" s="3">
        <v>715299.65</v>
      </c>
      <c r="L780" s="3">
        <v>594189.43000000005</v>
      </c>
      <c r="M780" s="3">
        <v>121110.22</v>
      </c>
    </row>
    <row r="781" spans="1:13" x14ac:dyDescent="0.3">
      <c r="A781" t="s">
        <v>464</v>
      </c>
      <c r="B781" s="4">
        <v>46107</v>
      </c>
      <c r="C781" t="s">
        <v>463</v>
      </c>
      <c r="D781" t="s">
        <v>17</v>
      </c>
      <c r="E781" t="s">
        <v>2</v>
      </c>
      <c r="F781" t="s">
        <v>1</v>
      </c>
      <c r="G781" t="s">
        <v>37</v>
      </c>
      <c r="H781">
        <v>10</v>
      </c>
      <c r="I781" s="3">
        <v>67714</v>
      </c>
      <c r="J781" s="2">
        <v>0.05</v>
      </c>
      <c r="K781" s="3">
        <v>643283</v>
      </c>
      <c r="L781" s="3">
        <v>434255.11</v>
      </c>
      <c r="M781" s="3">
        <v>209027.89</v>
      </c>
    </row>
    <row r="782" spans="1:13" x14ac:dyDescent="0.3">
      <c r="A782" t="s">
        <v>462</v>
      </c>
      <c r="B782" s="4">
        <v>45961</v>
      </c>
      <c r="C782" t="s">
        <v>461</v>
      </c>
      <c r="D782" t="s">
        <v>34</v>
      </c>
      <c r="E782" t="s">
        <v>24</v>
      </c>
      <c r="F782" t="s">
        <v>33</v>
      </c>
      <c r="G782" t="s">
        <v>0</v>
      </c>
      <c r="H782">
        <v>7</v>
      </c>
      <c r="I782" s="3">
        <v>10125</v>
      </c>
      <c r="J782" s="2">
        <v>0.15</v>
      </c>
      <c r="K782" s="3">
        <v>60243.75</v>
      </c>
      <c r="L782" s="3">
        <v>32239.68</v>
      </c>
      <c r="M782" s="3">
        <v>28004.07</v>
      </c>
    </row>
    <row r="783" spans="1:13" x14ac:dyDescent="0.3">
      <c r="A783" t="s">
        <v>460</v>
      </c>
      <c r="B783" s="4">
        <v>46052</v>
      </c>
      <c r="C783" t="s">
        <v>459</v>
      </c>
      <c r="D783" t="s">
        <v>34</v>
      </c>
      <c r="E783" t="s">
        <v>24</v>
      </c>
      <c r="F783" t="s">
        <v>13</v>
      </c>
      <c r="G783" t="s">
        <v>20</v>
      </c>
      <c r="H783">
        <v>12</v>
      </c>
      <c r="I783" s="3">
        <v>52369</v>
      </c>
      <c r="J783" s="2">
        <v>0.05</v>
      </c>
      <c r="K783" s="3">
        <v>597006.6</v>
      </c>
      <c r="L783" s="3">
        <v>395726.96</v>
      </c>
      <c r="M783" s="3">
        <v>201279.64</v>
      </c>
    </row>
    <row r="784" spans="1:13" x14ac:dyDescent="0.3">
      <c r="A784" t="s">
        <v>458</v>
      </c>
      <c r="B784" s="4">
        <v>45817</v>
      </c>
      <c r="C784" t="s">
        <v>457</v>
      </c>
      <c r="D784" t="s">
        <v>3</v>
      </c>
      <c r="E784" t="s">
        <v>2</v>
      </c>
      <c r="F784" t="s">
        <v>33</v>
      </c>
      <c r="G784" t="s">
        <v>16</v>
      </c>
      <c r="H784">
        <v>14</v>
      </c>
      <c r="I784" s="3">
        <v>63495</v>
      </c>
      <c r="J784" s="2">
        <v>0.1</v>
      </c>
      <c r="K784" s="3">
        <v>800037</v>
      </c>
      <c r="L784" s="3">
        <v>542518.5</v>
      </c>
      <c r="M784" s="3">
        <v>257518.5</v>
      </c>
    </row>
    <row r="785" spans="1:13" x14ac:dyDescent="0.3">
      <c r="A785" t="s">
        <v>456</v>
      </c>
      <c r="B785" s="4">
        <v>45453</v>
      </c>
      <c r="C785" t="s">
        <v>455</v>
      </c>
      <c r="D785" t="s">
        <v>28</v>
      </c>
      <c r="E785" t="s">
        <v>8</v>
      </c>
      <c r="F785" t="s">
        <v>1</v>
      </c>
      <c r="G785" t="s">
        <v>6</v>
      </c>
      <c r="H785">
        <v>3</v>
      </c>
      <c r="I785" s="3">
        <v>73642</v>
      </c>
      <c r="J785" s="2">
        <v>0</v>
      </c>
      <c r="K785" s="3">
        <v>220926</v>
      </c>
      <c r="L785" s="3">
        <v>183867.19</v>
      </c>
      <c r="M785" s="3">
        <v>37058.81</v>
      </c>
    </row>
    <row r="786" spans="1:13" x14ac:dyDescent="0.3">
      <c r="A786" t="s">
        <v>454</v>
      </c>
      <c r="B786" s="4">
        <v>45477</v>
      </c>
      <c r="C786" t="s">
        <v>453</v>
      </c>
      <c r="D786" t="s">
        <v>34</v>
      </c>
      <c r="E786" t="s">
        <v>24</v>
      </c>
      <c r="F786" t="s">
        <v>1</v>
      </c>
      <c r="G786" t="s">
        <v>0</v>
      </c>
      <c r="H786">
        <v>14</v>
      </c>
      <c r="I786" s="3">
        <v>53269</v>
      </c>
      <c r="J786" s="2">
        <v>0.1</v>
      </c>
      <c r="K786" s="3">
        <v>671189.4</v>
      </c>
      <c r="L786" s="3">
        <v>474201.16</v>
      </c>
      <c r="M786" s="3">
        <v>196988.24</v>
      </c>
    </row>
    <row r="787" spans="1:13" x14ac:dyDescent="0.3">
      <c r="A787" t="s">
        <v>452</v>
      </c>
      <c r="B787" s="4">
        <v>45555</v>
      </c>
      <c r="C787" t="s">
        <v>451</v>
      </c>
      <c r="D787" t="s">
        <v>53</v>
      </c>
      <c r="E787" t="s">
        <v>2</v>
      </c>
      <c r="F787" t="s">
        <v>1</v>
      </c>
      <c r="G787" t="s">
        <v>37</v>
      </c>
      <c r="H787">
        <v>9</v>
      </c>
      <c r="I787" s="3">
        <v>53759</v>
      </c>
      <c r="J787" s="2">
        <v>0.05</v>
      </c>
      <c r="K787" s="3">
        <v>459639.45</v>
      </c>
      <c r="L787" s="3">
        <v>275774.3</v>
      </c>
      <c r="M787" s="3">
        <v>183865.15</v>
      </c>
    </row>
    <row r="788" spans="1:13" x14ac:dyDescent="0.3">
      <c r="A788" t="s">
        <v>450</v>
      </c>
      <c r="B788" s="4">
        <v>46029</v>
      </c>
      <c r="C788" t="s">
        <v>449</v>
      </c>
      <c r="D788" t="s">
        <v>28</v>
      </c>
      <c r="E788" t="s">
        <v>8</v>
      </c>
      <c r="F788" t="s">
        <v>7</v>
      </c>
      <c r="G788" t="s">
        <v>20</v>
      </c>
      <c r="H788">
        <v>13</v>
      </c>
      <c r="I788" s="3">
        <v>63864</v>
      </c>
      <c r="J788" s="2">
        <v>0.15</v>
      </c>
      <c r="K788" s="3">
        <v>705697.2</v>
      </c>
      <c r="L788" s="3">
        <v>475283.19</v>
      </c>
      <c r="M788" s="3">
        <v>230414.01</v>
      </c>
    </row>
    <row r="789" spans="1:13" x14ac:dyDescent="0.3">
      <c r="A789" t="s">
        <v>448</v>
      </c>
      <c r="B789" s="4">
        <v>45701</v>
      </c>
      <c r="C789" t="s">
        <v>447</v>
      </c>
      <c r="D789" t="s">
        <v>17</v>
      </c>
      <c r="E789" t="s">
        <v>2</v>
      </c>
      <c r="F789" t="s">
        <v>33</v>
      </c>
      <c r="G789" t="s">
        <v>37</v>
      </c>
      <c r="H789">
        <v>9</v>
      </c>
      <c r="I789" s="3">
        <v>70726</v>
      </c>
      <c r="J789" s="2">
        <v>0.1</v>
      </c>
      <c r="K789" s="3">
        <v>572880.6</v>
      </c>
      <c r="L789" s="3">
        <v>414599.01</v>
      </c>
      <c r="M789" s="3">
        <v>158281.59</v>
      </c>
    </row>
    <row r="790" spans="1:13" x14ac:dyDescent="0.3">
      <c r="A790" t="s">
        <v>446</v>
      </c>
      <c r="B790" s="4">
        <v>45944</v>
      </c>
      <c r="C790" t="s">
        <v>445</v>
      </c>
      <c r="D790" t="s">
        <v>56</v>
      </c>
      <c r="E790" t="s">
        <v>24</v>
      </c>
      <c r="F790" t="s">
        <v>33</v>
      </c>
      <c r="G790" t="s">
        <v>37</v>
      </c>
      <c r="H790">
        <v>7</v>
      </c>
      <c r="I790" s="3">
        <v>35157</v>
      </c>
      <c r="J790" s="2">
        <v>0</v>
      </c>
      <c r="K790" s="3">
        <v>246099</v>
      </c>
      <c r="L790" s="3">
        <v>154961.07999999999</v>
      </c>
      <c r="M790" s="3">
        <v>91137.919999999998</v>
      </c>
    </row>
    <row r="791" spans="1:13" x14ac:dyDescent="0.3">
      <c r="A791" t="s">
        <v>444</v>
      </c>
      <c r="B791" s="4">
        <v>46065</v>
      </c>
      <c r="C791" t="s">
        <v>443</v>
      </c>
      <c r="D791" t="s">
        <v>34</v>
      </c>
      <c r="E791" t="s">
        <v>24</v>
      </c>
      <c r="F791" t="s">
        <v>7</v>
      </c>
      <c r="G791" t="s">
        <v>16</v>
      </c>
      <c r="H791">
        <v>9</v>
      </c>
      <c r="I791" s="3">
        <v>2572</v>
      </c>
      <c r="J791" s="2">
        <v>0.1</v>
      </c>
      <c r="K791" s="3">
        <v>20833.2</v>
      </c>
      <c r="L791" s="3">
        <v>16915.39</v>
      </c>
      <c r="M791" s="3">
        <v>3917.81</v>
      </c>
    </row>
    <row r="792" spans="1:13" x14ac:dyDescent="0.3">
      <c r="A792" t="s">
        <v>442</v>
      </c>
      <c r="B792" s="4">
        <v>45674</v>
      </c>
      <c r="C792" t="s">
        <v>441</v>
      </c>
      <c r="D792" t="s">
        <v>53</v>
      </c>
      <c r="E792" t="s">
        <v>2</v>
      </c>
      <c r="F792" t="s">
        <v>23</v>
      </c>
      <c r="G792" t="s">
        <v>6</v>
      </c>
      <c r="H792">
        <v>7</v>
      </c>
      <c r="I792" s="3">
        <v>3851</v>
      </c>
      <c r="J792" s="2">
        <v>0</v>
      </c>
      <c r="K792" s="3">
        <v>26957</v>
      </c>
      <c r="L792" s="3">
        <v>15300.84</v>
      </c>
      <c r="M792" s="3">
        <v>11656.16</v>
      </c>
    </row>
    <row r="793" spans="1:13" x14ac:dyDescent="0.3">
      <c r="A793" t="s">
        <v>440</v>
      </c>
      <c r="B793" s="4">
        <v>45868</v>
      </c>
      <c r="C793" t="s">
        <v>439</v>
      </c>
      <c r="D793" t="s">
        <v>3</v>
      </c>
      <c r="E793" t="s">
        <v>2</v>
      </c>
      <c r="F793" t="s">
        <v>7</v>
      </c>
      <c r="G793" t="s">
        <v>37</v>
      </c>
      <c r="H793">
        <v>5</v>
      </c>
      <c r="I793" s="3">
        <v>30882</v>
      </c>
      <c r="J793" s="2">
        <v>0.05</v>
      </c>
      <c r="K793" s="3">
        <v>146689.5</v>
      </c>
      <c r="L793" s="3">
        <v>76301.42</v>
      </c>
      <c r="M793" s="3">
        <v>70388.08</v>
      </c>
    </row>
    <row r="794" spans="1:13" x14ac:dyDescent="0.3">
      <c r="A794" t="s">
        <v>438</v>
      </c>
      <c r="B794" s="4">
        <v>45536</v>
      </c>
      <c r="C794" t="s">
        <v>437</v>
      </c>
      <c r="D794" t="s">
        <v>9</v>
      </c>
      <c r="E794" t="s">
        <v>8</v>
      </c>
      <c r="F794" t="s">
        <v>23</v>
      </c>
      <c r="G794" t="s">
        <v>12</v>
      </c>
      <c r="H794">
        <v>15</v>
      </c>
      <c r="I794" s="3">
        <v>15039</v>
      </c>
      <c r="J794" s="2">
        <v>0.05</v>
      </c>
      <c r="K794" s="3">
        <v>214305.75</v>
      </c>
      <c r="L794" s="3">
        <v>148473.79999999999</v>
      </c>
      <c r="M794" s="3">
        <v>65831.95</v>
      </c>
    </row>
    <row r="795" spans="1:13" x14ac:dyDescent="0.3">
      <c r="A795" t="s">
        <v>436</v>
      </c>
      <c r="B795" s="4">
        <v>46062</v>
      </c>
      <c r="C795" t="s">
        <v>435</v>
      </c>
      <c r="D795" t="s">
        <v>25</v>
      </c>
      <c r="E795" t="s">
        <v>24</v>
      </c>
      <c r="F795" t="s">
        <v>1</v>
      </c>
      <c r="G795" t="s">
        <v>20</v>
      </c>
      <c r="H795">
        <v>1</v>
      </c>
      <c r="I795" s="3">
        <v>66125</v>
      </c>
      <c r="J795" s="2">
        <v>0.15</v>
      </c>
      <c r="K795" s="3">
        <v>56206.25</v>
      </c>
      <c r="L795" s="3">
        <v>36409.199999999997</v>
      </c>
      <c r="M795" s="3">
        <v>19797.05</v>
      </c>
    </row>
    <row r="796" spans="1:13" x14ac:dyDescent="0.3">
      <c r="A796" t="s">
        <v>434</v>
      </c>
      <c r="B796" s="4">
        <v>45611</v>
      </c>
      <c r="C796" t="s">
        <v>433</v>
      </c>
      <c r="D796" t="s">
        <v>17</v>
      </c>
      <c r="E796" t="s">
        <v>2</v>
      </c>
      <c r="F796" t="s">
        <v>23</v>
      </c>
      <c r="G796" t="s">
        <v>37</v>
      </c>
      <c r="H796">
        <v>1</v>
      </c>
      <c r="I796" s="3">
        <v>12023</v>
      </c>
      <c r="J796" s="2">
        <v>0</v>
      </c>
      <c r="K796" s="3">
        <v>12023</v>
      </c>
      <c r="L796" s="3">
        <v>6686.68</v>
      </c>
      <c r="M796" s="3">
        <v>5336.32</v>
      </c>
    </row>
    <row r="797" spans="1:13" x14ac:dyDescent="0.3">
      <c r="A797" t="s">
        <v>432</v>
      </c>
      <c r="B797" s="4">
        <v>45919</v>
      </c>
      <c r="C797" t="s">
        <v>431</v>
      </c>
      <c r="D797" t="s">
        <v>34</v>
      </c>
      <c r="E797" t="s">
        <v>24</v>
      </c>
      <c r="F797" t="s">
        <v>23</v>
      </c>
      <c r="G797" t="s">
        <v>12</v>
      </c>
      <c r="H797">
        <v>12</v>
      </c>
      <c r="I797" s="3">
        <v>23081</v>
      </c>
      <c r="J797" s="2">
        <v>0</v>
      </c>
      <c r="K797" s="3">
        <v>276972</v>
      </c>
      <c r="L797" s="3">
        <v>183404.67</v>
      </c>
      <c r="M797" s="3">
        <v>93567.33</v>
      </c>
    </row>
    <row r="798" spans="1:13" x14ac:dyDescent="0.3">
      <c r="A798" t="s">
        <v>430</v>
      </c>
      <c r="B798" s="4">
        <v>45865</v>
      </c>
      <c r="C798" t="s">
        <v>429</v>
      </c>
      <c r="D798" t="s">
        <v>53</v>
      </c>
      <c r="E798" t="s">
        <v>2</v>
      </c>
      <c r="F798" t="s">
        <v>33</v>
      </c>
      <c r="G798" t="s">
        <v>0</v>
      </c>
      <c r="H798">
        <v>6</v>
      </c>
      <c r="I798" s="3">
        <v>26956</v>
      </c>
      <c r="J798" s="2">
        <v>0.1</v>
      </c>
      <c r="K798" s="3">
        <v>145562.4</v>
      </c>
      <c r="L798" s="3">
        <v>78940.100000000006</v>
      </c>
      <c r="M798" s="3">
        <v>66622.3</v>
      </c>
    </row>
    <row r="799" spans="1:13" x14ac:dyDescent="0.3">
      <c r="A799" t="s">
        <v>428</v>
      </c>
      <c r="B799" s="4">
        <v>46006</v>
      </c>
      <c r="C799" t="s">
        <v>427</v>
      </c>
      <c r="D799" t="s">
        <v>56</v>
      </c>
      <c r="E799" t="s">
        <v>24</v>
      </c>
      <c r="F799" t="s">
        <v>23</v>
      </c>
      <c r="G799" t="s">
        <v>6</v>
      </c>
      <c r="H799">
        <v>5</v>
      </c>
      <c r="I799" s="3">
        <v>59478</v>
      </c>
      <c r="J799" s="2">
        <v>0.05</v>
      </c>
      <c r="K799" s="3">
        <v>282520.5</v>
      </c>
      <c r="L799" s="3">
        <v>189027.72</v>
      </c>
      <c r="M799" s="3">
        <v>93492.78</v>
      </c>
    </row>
    <row r="800" spans="1:13" x14ac:dyDescent="0.3">
      <c r="A800" t="s">
        <v>426</v>
      </c>
      <c r="B800" s="4">
        <v>46149</v>
      </c>
      <c r="C800" t="s">
        <v>425</v>
      </c>
      <c r="D800" t="s">
        <v>42</v>
      </c>
      <c r="E800" t="s">
        <v>8</v>
      </c>
      <c r="F800" t="s">
        <v>23</v>
      </c>
      <c r="G800" t="s">
        <v>16</v>
      </c>
      <c r="H800">
        <v>3</v>
      </c>
      <c r="I800" s="3">
        <v>24579</v>
      </c>
      <c r="J800" s="2">
        <v>0.05</v>
      </c>
      <c r="K800" s="3">
        <v>70050.149999999994</v>
      </c>
      <c r="L800" s="3">
        <v>54484.58</v>
      </c>
      <c r="M800" s="3">
        <v>15565.57</v>
      </c>
    </row>
    <row r="801" spans="1:13" x14ac:dyDescent="0.3">
      <c r="A801" t="s">
        <v>424</v>
      </c>
      <c r="B801" s="4">
        <v>45985</v>
      </c>
      <c r="C801" t="s">
        <v>423</v>
      </c>
      <c r="D801" t="s">
        <v>9</v>
      </c>
      <c r="E801" t="s">
        <v>8</v>
      </c>
      <c r="F801" t="s">
        <v>13</v>
      </c>
      <c r="G801" t="s">
        <v>37</v>
      </c>
      <c r="H801">
        <v>11</v>
      </c>
      <c r="I801" s="3">
        <v>5398</v>
      </c>
      <c r="J801" s="2">
        <v>0.15</v>
      </c>
      <c r="K801" s="3">
        <v>50471.3</v>
      </c>
      <c r="L801" s="3">
        <v>34904.18</v>
      </c>
      <c r="M801" s="3">
        <v>15567.12</v>
      </c>
    </row>
    <row r="802" spans="1:13" x14ac:dyDescent="0.3">
      <c r="A802" t="s">
        <v>422</v>
      </c>
      <c r="B802" s="4">
        <v>45928</v>
      </c>
      <c r="C802" t="s">
        <v>421</v>
      </c>
      <c r="D802" t="s">
        <v>56</v>
      </c>
      <c r="E802" t="s">
        <v>24</v>
      </c>
      <c r="F802" t="s">
        <v>33</v>
      </c>
      <c r="G802" t="s">
        <v>20</v>
      </c>
      <c r="H802">
        <v>15</v>
      </c>
      <c r="I802" s="3">
        <v>4016</v>
      </c>
      <c r="J802" s="2">
        <v>0.2</v>
      </c>
      <c r="K802" s="3">
        <v>48192</v>
      </c>
      <c r="L802" s="3">
        <v>34778.51</v>
      </c>
      <c r="M802" s="3">
        <v>13413.49</v>
      </c>
    </row>
    <row r="803" spans="1:13" x14ac:dyDescent="0.3">
      <c r="A803" t="s">
        <v>420</v>
      </c>
      <c r="B803" s="4">
        <v>45598</v>
      </c>
      <c r="C803" t="s">
        <v>419</v>
      </c>
      <c r="D803" t="s">
        <v>3</v>
      </c>
      <c r="E803" t="s">
        <v>2</v>
      </c>
      <c r="F803" t="s">
        <v>1</v>
      </c>
      <c r="G803" t="s">
        <v>6</v>
      </c>
      <c r="H803">
        <v>15</v>
      </c>
      <c r="I803" s="3">
        <v>74507</v>
      </c>
      <c r="J803" s="2">
        <v>0.2</v>
      </c>
      <c r="K803" s="3">
        <v>894084</v>
      </c>
      <c r="L803" s="3">
        <v>491625.09</v>
      </c>
      <c r="M803" s="3">
        <v>402458.91</v>
      </c>
    </row>
    <row r="804" spans="1:13" x14ac:dyDescent="0.3">
      <c r="A804" t="s">
        <v>418</v>
      </c>
      <c r="B804" s="4">
        <v>46003</v>
      </c>
      <c r="C804" t="s">
        <v>417</v>
      </c>
      <c r="D804" t="s">
        <v>25</v>
      </c>
      <c r="E804" t="s">
        <v>24</v>
      </c>
      <c r="F804" t="s">
        <v>13</v>
      </c>
      <c r="G804" t="s">
        <v>37</v>
      </c>
      <c r="H804">
        <v>12</v>
      </c>
      <c r="I804" s="3">
        <v>1603</v>
      </c>
      <c r="J804" s="2">
        <v>0.2</v>
      </c>
      <c r="K804" s="3">
        <v>15388.8</v>
      </c>
      <c r="L804" s="3">
        <v>12014.36</v>
      </c>
      <c r="M804" s="3">
        <v>3374.44</v>
      </c>
    </row>
    <row r="805" spans="1:13" x14ac:dyDescent="0.3">
      <c r="A805" t="s">
        <v>416</v>
      </c>
      <c r="B805" s="4">
        <v>45957</v>
      </c>
      <c r="C805" t="s">
        <v>415</v>
      </c>
      <c r="D805" t="s">
        <v>56</v>
      </c>
      <c r="E805" t="s">
        <v>24</v>
      </c>
      <c r="F805" t="s">
        <v>33</v>
      </c>
      <c r="G805" t="s">
        <v>0</v>
      </c>
      <c r="H805">
        <v>12</v>
      </c>
      <c r="I805" s="3">
        <v>25779</v>
      </c>
      <c r="J805" s="2">
        <v>0.2</v>
      </c>
      <c r="K805" s="3">
        <v>247478.39999999999</v>
      </c>
      <c r="L805" s="3">
        <v>156699.21</v>
      </c>
      <c r="M805" s="3">
        <v>90779.19</v>
      </c>
    </row>
    <row r="806" spans="1:13" x14ac:dyDescent="0.3">
      <c r="A806" t="s">
        <v>414</v>
      </c>
      <c r="B806" s="4">
        <v>45752</v>
      </c>
      <c r="C806" t="s">
        <v>413</v>
      </c>
      <c r="D806" t="s">
        <v>34</v>
      </c>
      <c r="E806" t="s">
        <v>24</v>
      </c>
      <c r="F806" t="s">
        <v>1</v>
      </c>
      <c r="G806" t="s">
        <v>0</v>
      </c>
      <c r="H806">
        <v>15</v>
      </c>
      <c r="I806" s="3">
        <v>22137</v>
      </c>
      <c r="J806" s="2">
        <v>0.1</v>
      </c>
      <c r="K806" s="3">
        <v>298849.5</v>
      </c>
      <c r="L806" s="3">
        <v>243043.24</v>
      </c>
      <c r="M806" s="3">
        <v>55806.26</v>
      </c>
    </row>
    <row r="807" spans="1:13" x14ac:dyDescent="0.3">
      <c r="A807" t="s">
        <v>412</v>
      </c>
      <c r="B807" s="4">
        <v>46102</v>
      </c>
      <c r="C807" t="s">
        <v>411</v>
      </c>
      <c r="D807" t="s">
        <v>53</v>
      </c>
      <c r="E807" t="s">
        <v>2</v>
      </c>
      <c r="F807" t="s">
        <v>7</v>
      </c>
      <c r="G807" t="s">
        <v>6</v>
      </c>
      <c r="H807">
        <v>13</v>
      </c>
      <c r="I807" s="3">
        <v>1561</v>
      </c>
      <c r="J807" s="2">
        <v>0.2</v>
      </c>
      <c r="K807" s="3">
        <v>16234.4</v>
      </c>
      <c r="L807" s="3">
        <v>12026.5</v>
      </c>
      <c r="M807" s="3">
        <v>4207.8999999999996</v>
      </c>
    </row>
    <row r="808" spans="1:13" x14ac:dyDescent="0.3">
      <c r="A808" t="s">
        <v>410</v>
      </c>
      <c r="B808" s="4">
        <v>45770</v>
      </c>
      <c r="C808" t="s">
        <v>409</v>
      </c>
      <c r="D808" t="s">
        <v>28</v>
      </c>
      <c r="E808" t="s">
        <v>8</v>
      </c>
      <c r="F808" t="s">
        <v>13</v>
      </c>
      <c r="G808" t="s">
        <v>16</v>
      </c>
      <c r="H808">
        <v>13</v>
      </c>
      <c r="I808" s="3">
        <v>45147</v>
      </c>
      <c r="J808" s="2">
        <v>0.05</v>
      </c>
      <c r="K808" s="3">
        <v>557565.44999999995</v>
      </c>
      <c r="L808" s="3">
        <v>390721.62</v>
      </c>
      <c r="M808" s="3">
        <v>166843.82999999999</v>
      </c>
    </row>
    <row r="809" spans="1:13" x14ac:dyDescent="0.3">
      <c r="A809" t="s">
        <v>408</v>
      </c>
      <c r="B809" s="4">
        <v>45764</v>
      </c>
      <c r="C809" t="s">
        <v>407</v>
      </c>
      <c r="D809" t="s">
        <v>25</v>
      </c>
      <c r="E809" t="s">
        <v>24</v>
      </c>
      <c r="F809" t="s">
        <v>23</v>
      </c>
      <c r="G809" t="s">
        <v>20</v>
      </c>
      <c r="H809">
        <v>8</v>
      </c>
      <c r="I809" s="3">
        <v>7085</v>
      </c>
      <c r="J809" s="2">
        <v>0.05</v>
      </c>
      <c r="K809" s="3">
        <v>53846</v>
      </c>
      <c r="L809" s="3">
        <v>34990.82</v>
      </c>
      <c r="M809" s="3">
        <v>18855.18</v>
      </c>
    </row>
    <row r="810" spans="1:13" x14ac:dyDescent="0.3">
      <c r="A810" t="s">
        <v>406</v>
      </c>
      <c r="B810" s="4">
        <v>45602</v>
      </c>
      <c r="C810" t="s">
        <v>405</v>
      </c>
      <c r="D810" t="s">
        <v>56</v>
      </c>
      <c r="E810" t="s">
        <v>24</v>
      </c>
      <c r="F810" t="s">
        <v>23</v>
      </c>
      <c r="G810" t="s">
        <v>37</v>
      </c>
      <c r="H810">
        <v>10</v>
      </c>
      <c r="I810" s="3">
        <v>67532</v>
      </c>
      <c r="J810" s="2">
        <v>0.15</v>
      </c>
      <c r="K810" s="3">
        <v>574022</v>
      </c>
      <c r="L810" s="3">
        <v>428653.95</v>
      </c>
      <c r="M810" s="3">
        <v>145368.04999999999</v>
      </c>
    </row>
    <row r="811" spans="1:13" x14ac:dyDescent="0.3">
      <c r="A811" t="s">
        <v>404</v>
      </c>
      <c r="B811" s="4">
        <v>46031</v>
      </c>
      <c r="C811" t="s">
        <v>403</v>
      </c>
      <c r="D811" t="s">
        <v>42</v>
      </c>
      <c r="E811" t="s">
        <v>8</v>
      </c>
      <c r="F811" t="s">
        <v>13</v>
      </c>
      <c r="G811" t="s">
        <v>16</v>
      </c>
      <c r="H811">
        <v>2</v>
      </c>
      <c r="I811" s="3">
        <v>50341</v>
      </c>
      <c r="J811" s="2">
        <v>0.1</v>
      </c>
      <c r="K811" s="3">
        <v>90613.8</v>
      </c>
      <c r="L811" s="3">
        <v>73105.350000000006</v>
      </c>
      <c r="M811" s="3">
        <v>17508.45</v>
      </c>
    </row>
    <row r="812" spans="1:13" x14ac:dyDescent="0.3">
      <c r="A812" t="s">
        <v>402</v>
      </c>
      <c r="B812" s="4">
        <v>45653</v>
      </c>
      <c r="C812" t="s">
        <v>401</v>
      </c>
      <c r="D812" t="s">
        <v>34</v>
      </c>
      <c r="E812" t="s">
        <v>24</v>
      </c>
      <c r="F812" t="s">
        <v>7</v>
      </c>
      <c r="G812" t="s">
        <v>37</v>
      </c>
      <c r="H812">
        <v>13</v>
      </c>
      <c r="I812" s="3">
        <v>34633</v>
      </c>
      <c r="J812" s="2">
        <v>0</v>
      </c>
      <c r="K812" s="3">
        <v>450229</v>
      </c>
      <c r="L812" s="3">
        <v>340199.25</v>
      </c>
      <c r="M812" s="3">
        <v>110029.75</v>
      </c>
    </row>
    <row r="813" spans="1:13" x14ac:dyDescent="0.3">
      <c r="A813" t="s">
        <v>400</v>
      </c>
      <c r="B813" s="4">
        <v>45627</v>
      </c>
      <c r="C813" t="s">
        <v>399</v>
      </c>
      <c r="D813" t="s">
        <v>17</v>
      </c>
      <c r="E813" t="s">
        <v>2</v>
      </c>
      <c r="F813" t="s">
        <v>7</v>
      </c>
      <c r="G813" t="s">
        <v>0</v>
      </c>
      <c r="H813">
        <v>14</v>
      </c>
      <c r="I813" s="3">
        <v>40231</v>
      </c>
      <c r="J813" s="2">
        <v>0.05</v>
      </c>
      <c r="K813" s="3">
        <v>535072.30000000005</v>
      </c>
      <c r="L813" s="3">
        <v>279716.3</v>
      </c>
      <c r="M813" s="3">
        <v>255356</v>
      </c>
    </row>
    <row r="814" spans="1:13" x14ac:dyDescent="0.3">
      <c r="A814" t="s">
        <v>398</v>
      </c>
      <c r="B814" s="4">
        <v>45785</v>
      </c>
      <c r="C814" t="s">
        <v>397</v>
      </c>
      <c r="D814" t="s">
        <v>25</v>
      </c>
      <c r="E814" t="s">
        <v>24</v>
      </c>
      <c r="F814" t="s">
        <v>33</v>
      </c>
      <c r="G814" t="s">
        <v>20</v>
      </c>
      <c r="H814">
        <v>15</v>
      </c>
      <c r="I814" s="3">
        <v>67573</v>
      </c>
      <c r="J814" s="2">
        <v>0.2</v>
      </c>
      <c r="K814" s="3">
        <v>810876</v>
      </c>
      <c r="L814" s="3">
        <v>688649.29</v>
      </c>
      <c r="M814" s="3">
        <v>122226.71</v>
      </c>
    </row>
    <row r="815" spans="1:13" x14ac:dyDescent="0.3">
      <c r="A815" t="s">
        <v>396</v>
      </c>
      <c r="B815" s="4">
        <v>46095</v>
      </c>
      <c r="C815" t="s">
        <v>395</v>
      </c>
      <c r="D815" t="s">
        <v>9</v>
      </c>
      <c r="E815" t="s">
        <v>8</v>
      </c>
      <c r="F815" t="s">
        <v>7</v>
      </c>
      <c r="G815" t="s">
        <v>16</v>
      </c>
      <c r="H815">
        <v>13</v>
      </c>
      <c r="I815" s="3">
        <v>37389</v>
      </c>
      <c r="J815" s="2">
        <v>0.15</v>
      </c>
      <c r="K815" s="3">
        <v>413148.45</v>
      </c>
      <c r="L815" s="3">
        <v>299563.59000000003</v>
      </c>
      <c r="M815" s="3">
        <v>113584.86</v>
      </c>
    </row>
    <row r="816" spans="1:13" x14ac:dyDescent="0.3">
      <c r="A816" t="s">
        <v>394</v>
      </c>
      <c r="B816" s="4">
        <v>46104</v>
      </c>
      <c r="C816" t="s">
        <v>393</v>
      </c>
      <c r="D816" t="s">
        <v>9</v>
      </c>
      <c r="E816" t="s">
        <v>8</v>
      </c>
      <c r="F816" t="s">
        <v>1</v>
      </c>
      <c r="G816" t="s">
        <v>6</v>
      </c>
      <c r="H816">
        <v>8</v>
      </c>
      <c r="I816" s="3">
        <v>16545</v>
      </c>
      <c r="J816" s="2">
        <v>0</v>
      </c>
      <c r="K816" s="3">
        <v>132360</v>
      </c>
      <c r="L816" s="3">
        <v>100883.33</v>
      </c>
      <c r="M816" s="3">
        <v>31476.67</v>
      </c>
    </row>
    <row r="817" spans="1:13" x14ac:dyDescent="0.3">
      <c r="A817" t="s">
        <v>392</v>
      </c>
      <c r="B817" s="4">
        <v>46161</v>
      </c>
      <c r="C817" t="s">
        <v>391</v>
      </c>
      <c r="D817" t="s">
        <v>25</v>
      </c>
      <c r="E817" t="s">
        <v>24</v>
      </c>
      <c r="F817" t="s">
        <v>33</v>
      </c>
      <c r="G817" t="s">
        <v>12</v>
      </c>
      <c r="H817">
        <v>10</v>
      </c>
      <c r="I817" s="3">
        <v>71903</v>
      </c>
      <c r="J817" s="2">
        <v>0.05</v>
      </c>
      <c r="K817" s="3">
        <v>683078.5</v>
      </c>
      <c r="L817" s="3">
        <v>425604.49</v>
      </c>
      <c r="M817" s="3">
        <v>257474.01</v>
      </c>
    </row>
    <row r="818" spans="1:13" x14ac:dyDescent="0.3">
      <c r="A818" t="s">
        <v>390</v>
      </c>
      <c r="B818" s="4">
        <v>46142</v>
      </c>
      <c r="C818" t="s">
        <v>389</v>
      </c>
      <c r="D818" t="s">
        <v>34</v>
      </c>
      <c r="E818" t="s">
        <v>24</v>
      </c>
      <c r="F818" t="s">
        <v>23</v>
      </c>
      <c r="G818" t="s">
        <v>37</v>
      </c>
      <c r="H818">
        <v>1</v>
      </c>
      <c r="I818" s="3">
        <v>59303</v>
      </c>
      <c r="J818" s="2">
        <v>0.15</v>
      </c>
      <c r="K818" s="3">
        <v>50407.55</v>
      </c>
      <c r="L818" s="3">
        <v>25654.85</v>
      </c>
      <c r="M818" s="3">
        <v>24752.7</v>
      </c>
    </row>
    <row r="819" spans="1:13" x14ac:dyDescent="0.3">
      <c r="A819" t="s">
        <v>388</v>
      </c>
      <c r="B819" s="4">
        <v>46005</v>
      </c>
      <c r="C819" t="s">
        <v>387</v>
      </c>
      <c r="D819" t="s">
        <v>17</v>
      </c>
      <c r="E819" t="s">
        <v>2</v>
      </c>
      <c r="F819" t="s">
        <v>7</v>
      </c>
      <c r="G819" t="s">
        <v>20</v>
      </c>
      <c r="H819">
        <v>10</v>
      </c>
      <c r="I819" s="3">
        <v>62476</v>
      </c>
      <c r="J819" s="2">
        <v>0</v>
      </c>
      <c r="K819" s="3">
        <v>624760</v>
      </c>
      <c r="L819" s="3">
        <v>471818.21</v>
      </c>
      <c r="M819" s="3">
        <v>152941.79</v>
      </c>
    </row>
    <row r="820" spans="1:13" x14ac:dyDescent="0.3">
      <c r="A820" t="s">
        <v>386</v>
      </c>
      <c r="B820" s="4">
        <v>45742</v>
      </c>
      <c r="C820" t="s">
        <v>385</v>
      </c>
      <c r="D820" t="s">
        <v>3</v>
      </c>
      <c r="E820" t="s">
        <v>2</v>
      </c>
      <c r="F820" t="s">
        <v>7</v>
      </c>
      <c r="G820" t="s">
        <v>0</v>
      </c>
      <c r="H820">
        <v>11</v>
      </c>
      <c r="I820" s="3">
        <v>16740</v>
      </c>
      <c r="J820" s="2">
        <v>0.05</v>
      </c>
      <c r="K820" s="3">
        <v>174933</v>
      </c>
      <c r="L820" s="3">
        <v>138795.10999999999</v>
      </c>
      <c r="M820" s="3">
        <v>36137.89</v>
      </c>
    </row>
    <row r="821" spans="1:13" x14ac:dyDescent="0.3">
      <c r="A821" t="s">
        <v>384</v>
      </c>
      <c r="B821" s="4">
        <v>45990</v>
      </c>
      <c r="C821" t="s">
        <v>383</v>
      </c>
      <c r="D821" t="s">
        <v>3</v>
      </c>
      <c r="E821" t="s">
        <v>2</v>
      </c>
      <c r="F821" t="s">
        <v>1</v>
      </c>
      <c r="G821" t="s">
        <v>0</v>
      </c>
      <c r="H821">
        <v>15</v>
      </c>
      <c r="I821" s="3">
        <v>30245</v>
      </c>
      <c r="J821" s="2">
        <v>0.15</v>
      </c>
      <c r="K821" s="3">
        <v>385623.75</v>
      </c>
      <c r="L821" s="3">
        <v>308555.21999999997</v>
      </c>
      <c r="M821" s="3">
        <v>77068.53</v>
      </c>
    </row>
    <row r="822" spans="1:13" x14ac:dyDescent="0.3">
      <c r="A822" t="s">
        <v>382</v>
      </c>
      <c r="B822" s="4">
        <v>45888</v>
      </c>
      <c r="C822" t="s">
        <v>381</v>
      </c>
      <c r="D822" t="s">
        <v>25</v>
      </c>
      <c r="E822" t="s">
        <v>24</v>
      </c>
      <c r="F822" t="s">
        <v>23</v>
      </c>
      <c r="G822" t="s">
        <v>6</v>
      </c>
      <c r="H822">
        <v>4</v>
      </c>
      <c r="I822" s="3">
        <v>22112</v>
      </c>
      <c r="J822" s="2">
        <v>0.2</v>
      </c>
      <c r="K822" s="3">
        <v>70758.399999999994</v>
      </c>
      <c r="L822" s="3">
        <v>42856.86</v>
      </c>
      <c r="M822" s="3">
        <v>27901.54</v>
      </c>
    </row>
    <row r="823" spans="1:13" x14ac:dyDescent="0.3">
      <c r="A823" t="s">
        <v>380</v>
      </c>
      <c r="B823" s="4">
        <v>45463</v>
      </c>
      <c r="C823" t="s">
        <v>379</v>
      </c>
      <c r="D823" t="s">
        <v>34</v>
      </c>
      <c r="E823" t="s">
        <v>24</v>
      </c>
      <c r="F823" t="s">
        <v>33</v>
      </c>
      <c r="G823" t="s">
        <v>0</v>
      </c>
      <c r="H823">
        <v>10</v>
      </c>
      <c r="I823" s="3">
        <v>59136</v>
      </c>
      <c r="J823" s="2">
        <v>0.05</v>
      </c>
      <c r="K823" s="3">
        <v>561792</v>
      </c>
      <c r="L823" s="3">
        <v>300231.28999999998</v>
      </c>
      <c r="M823" s="3">
        <v>261560.71</v>
      </c>
    </row>
    <row r="824" spans="1:13" x14ac:dyDescent="0.3">
      <c r="A824" t="s">
        <v>378</v>
      </c>
      <c r="B824" s="4">
        <v>45976</v>
      </c>
      <c r="C824" t="s">
        <v>377</v>
      </c>
      <c r="D824" t="s">
        <v>42</v>
      </c>
      <c r="E824" t="s">
        <v>8</v>
      </c>
      <c r="F824" t="s">
        <v>33</v>
      </c>
      <c r="G824" t="s">
        <v>20</v>
      </c>
      <c r="H824">
        <v>12</v>
      </c>
      <c r="I824" s="3">
        <v>51271</v>
      </c>
      <c r="J824" s="2">
        <v>0.05</v>
      </c>
      <c r="K824" s="3">
        <v>584489.4</v>
      </c>
      <c r="L824" s="3">
        <v>425744.35</v>
      </c>
      <c r="M824" s="3">
        <v>158745.04999999999</v>
      </c>
    </row>
    <row r="825" spans="1:13" x14ac:dyDescent="0.3">
      <c r="A825" t="s">
        <v>376</v>
      </c>
      <c r="B825" s="4">
        <v>45679</v>
      </c>
      <c r="C825" t="s">
        <v>375</v>
      </c>
      <c r="D825" t="s">
        <v>17</v>
      </c>
      <c r="E825" t="s">
        <v>2</v>
      </c>
      <c r="F825" t="s">
        <v>33</v>
      </c>
      <c r="G825" t="s">
        <v>12</v>
      </c>
      <c r="H825">
        <v>3</v>
      </c>
      <c r="I825" s="3">
        <v>69243</v>
      </c>
      <c r="J825" s="2">
        <v>0</v>
      </c>
      <c r="K825" s="3">
        <v>207729</v>
      </c>
      <c r="L825" s="3">
        <v>144151.57</v>
      </c>
      <c r="M825" s="3">
        <v>63577.43</v>
      </c>
    </row>
    <row r="826" spans="1:13" x14ac:dyDescent="0.3">
      <c r="A826" t="s">
        <v>374</v>
      </c>
      <c r="B826" s="4">
        <v>45539</v>
      </c>
      <c r="C826" t="s">
        <v>373</v>
      </c>
      <c r="D826" t="s">
        <v>17</v>
      </c>
      <c r="E826" t="s">
        <v>2</v>
      </c>
      <c r="F826" t="s">
        <v>23</v>
      </c>
      <c r="G826" t="s">
        <v>20</v>
      </c>
      <c r="H826">
        <v>8</v>
      </c>
      <c r="I826" s="3">
        <v>65639</v>
      </c>
      <c r="J826" s="2">
        <v>0.1</v>
      </c>
      <c r="K826" s="3">
        <v>472600.8</v>
      </c>
      <c r="L826" s="3">
        <v>329462.69</v>
      </c>
      <c r="M826" s="3">
        <v>143138.10999999999</v>
      </c>
    </row>
    <row r="827" spans="1:13" x14ac:dyDescent="0.3">
      <c r="A827" t="s">
        <v>372</v>
      </c>
      <c r="B827" s="4">
        <v>45853</v>
      </c>
      <c r="C827" t="s">
        <v>371</v>
      </c>
      <c r="D827" t="s">
        <v>34</v>
      </c>
      <c r="E827" t="s">
        <v>24</v>
      </c>
      <c r="F827" t="s">
        <v>7</v>
      </c>
      <c r="G827" t="s">
        <v>16</v>
      </c>
      <c r="H827">
        <v>6</v>
      </c>
      <c r="I827" s="3">
        <v>22250</v>
      </c>
      <c r="J827" s="2">
        <v>0.1</v>
      </c>
      <c r="K827" s="3">
        <v>120150</v>
      </c>
      <c r="L827" s="3">
        <v>97336.8</v>
      </c>
      <c r="M827" s="3">
        <v>22813.200000000001</v>
      </c>
    </row>
    <row r="828" spans="1:13" x14ac:dyDescent="0.3">
      <c r="A828" t="s">
        <v>370</v>
      </c>
      <c r="B828" s="4">
        <v>45521</v>
      </c>
      <c r="C828" t="s">
        <v>369</v>
      </c>
      <c r="D828" t="s">
        <v>3</v>
      </c>
      <c r="E828" t="s">
        <v>2</v>
      </c>
      <c r="F828" t="s">
        <v>13</v>
      </c>
      <c r="G828" t="s">
        <v>12</v>
      </c>
      <c r="H828">
        <v>8</v>
      </c>
      <c r="I828" s="3">
        <v>38042</v>
      </c>
      <c r="J828" s="2">
        <v>0.1</v>
      </c>
      <c r="K828" s="3">
        <v>273902.40000000002</v>
      </c>
      <c r="L828" s="3">
        <v>173863.08</v>
      </c>
      <c r="M828" s="3">
        <v>100039.32</v>
      </c>
    </row>
    <row r="829" spans="1:13" x14ac:dyDescent="0.3">
      <c r="A829" t="s">
        <v>368</v>
      </c>
      <c r="B829" s="4">
        <v>45494</v>
      </c>
      <c r="C829" t="s">
        <v>367</v>
      </c>
      <c r="D829" t="s">
        <v>25</v>
      </c>
      <c r="E829" t="s">
        <v>24</v>
      </c>
      <c r="F829" t="s">
        <v>7</v>
      </c>
      <c r="G829" t="s">
        <v>16</v>
      </c>
      <c r="H829">
        <v>6</v>
      </c>
      <c r="I829" s="3">
        <v>27813</v>
      </c>
      <c r="J829" s="2">
        <v>0.15</v>
      </c>
      <c r="K829" s="3">
        <v>141846.29999999999</v>
      </c>
      <c r="L829" s="3">
        <v>77078.95</v>
      </c>
      <c r="M829" s="3">
        <v>64767.35</v>
      </c>
    </row>
    <row r="830" spans="1:13" x14ac:dyDescent="0.3">
      <c r="A830" t="s">
        <v>366</v>
      </c>
      <c r="B830" s="4">
        <v>46119</v>
      </c>
      <c r="C830" t="s">
        <v>365</v>
      </c>
      <c r="D830" t="s">
        <v>28</v>
      </c>
      <c r="E830" t="s">
        <v>8</v>
      </c>
      <c r="F830" t="s">
        <v>1</v>
      </c>
      <c r="G830" t="s">
        <v>20</v>
      </c>
      <c r="H830">
        <v>10</v>
      </c>
      <c r="I830" s="3">
        <v>48490</v>
      </c>
      <c r="J830" s="2">
        <v>0.15</v>
      </c>
      <c r="K830" s="3">
        <v>412165</v>
      </c>
      <c r="L830" s="3">
        <v>343040.78</v>
      </c>
      <c r="M830" s="3">
        <v>69124.22</v>
      </c>
    </row>
    <row r="831" spans="1:13" x14ac:dyDescent="0.3">
      <c r="A831" t="s">
        <v>364</v>
      </c>
      <c r="B831" s="4">
        <v>45445</v>
      </c>
      <c r="C831" t="s">
        <v>363</v>
      </c>
      <c r="D831" t="s">
        <v>9</v>
      </c>
      <c r="E831" t="s">
        <v>8</v>
      </c>
      <c r="F831" t="s">
        <v>7</v>
      </c>
      <c r="G831" t="s">
        <v>0</v>
      </c>
      <c r="H831">
        <v>3</v>
      </c>
      <c r="I831" s="3">
        <v>48231</v>
      </c>
      <c r="J831" s="2">
        <v>0.05</v>
      </c>
      <c r="K831" s="3">
        <v>137458.35</v>
      </c>
      <c r="L831" s="3">
        <v>97827.04</v>
      </c>
      <c r="M831" s="3">
        <v>39631.31</v>
      </c>
    </row>
    <row r="832" spans="1:13" x14ac:dyDescent="0.3">
      <c r="A832" t="s">
        <v>362</v>
      </c>
      <c r="B832" s="4">
        <v>45829</v>
      </c>
      <c r="C832" t="s">
        <v>361</v>
      </c>
      <c r="D832" t="s">
        <v>42</v>
      </c>
      <c r="E832" t="s">
        <v>8</v>
      </c>
      <c r="F832" t="s">
        <v>13</v>
      </c>
      <c r="G832" t="s">
        <v>37</v>
      </c>
      <c r="H832">
        <v>12</v>
      </c>
      <c r="I832" s="3">
        <v>9438</v>
      </c>
      <c r="J832" s="2">
        <v>0.15</v>
      </c>
      <c r="K832" s="3">
        <v>96267.6</v>
      </c>
      <c r="L832" s="3">
        <v>48465.38</v>
      </c>
      <c r="M832" s="3">
        <v>47802.22</v>
      </c>
    </row>
    <row r="833" spans="1:13" x14ac:dyDescent="0.3">
      <c r="A833" t="s">
        <v>360</v>
      </c>
      <c r="B833" s="4">
        <v>45641</v>
      </c>
      <c r="C833" t="s">
        <v>359</v>
      </c>
      <c r="D833" t="s">
        <v>53</v>
      </c>
      <c r="E833" t="s">
        <v>2</v>
      </c>
      <c r="F833" t="s">
        <v>7</v>
      </c>
      <c r="G833" t="s">
        <v>37</v>
      </c>
      <c r="H833">
        <v>9</v>
      </c>
      <c r="I833" s="3">
        <v>16487</v>
      </c>
      <c r="J833" s="2">
        <v>0.05</v>
      </c>
      <c r="K833" s="3">
        <v>140963.85</v>
      </c>
      <c r="L833" s="3">
        <v>103491.75</v>
      </c>
      <c r="M833" s="3">
        <v>37472.1</v>
      </c>
    </row>
    <row r="834" spans="1:13" x14ac:dyDescent="0.3">
      <c r="A834" t="s">
        <v>358</v>
      </c>
      <c r="B834" s="4">
        <v>45856</v>
      </c>
      <c r="C834" t="s">
        <v>357</v>
      </c>
      <c r="D834" t="s">
        <v>53</v>
      </c>
      <c r="E834" t="s">
        <v>2</v>
      </c>
      <c r="F834" t="s">
        <v>33</v>
      </c>
      <c r="G834" t="s">
        <v>37</v>
      </c>
      <c r="H834">
        <v>10</v>
      </c>
      <c r="I834" s="3">
        <v>1232</v>
      </c>
      <c r="J834" s="2">
        <v>0.1</v>
      </c>
      <c r="K834" s="3">
        <v>11088</v>
      </c>
      <c r="L834" s="3">
        <v>5735.09</v>
      </c>
      <c r="M834" s="3">
        <v>5352.91</v>
      </c>
    </row>
    <row r="835" spans="1:13" x14ac:dyDescent="0.3">
      <c r="A835" t="s">
        <v>356</v>
      </c>
      <c r="B835" s="4">
        <v>46112</v>
      </c>
      <c r="C835" t="s">
        <v>355</v>
      </c>
      <c r="D835" t="s">
        <v>56</v>
      </c>
      <c r="E835" t="s">
        <v>24</v>
      </c>
      <c r="F835" t="s">
        <v>13</v>
      </c>
      <c r="G835" t="s">
        <v>20</v>
      </c>
      <c r="H835">
        <v>15</v>
      </c>
      <c r="I835" s="3">
        <v>2158</v>
      </c>
      <c r="J835" s="2">
        <v>0.2</v>
      </c>
      <c r="K835" s="3">
        <v>25896</v>
      </c>
      <c r="L835" s="3">
        <v>16716.12</v>
      </c>
      <c r="M835" s="3">
        <v>9179.8799999999992</v>
      </c>
    </row>
    <row r="836" spans="1:13" x14ac:dyDescent="0.3">
      <c r="A836" t="s">
        <v>354</v>
      </c>
      <c r="B836" s="4">
        <v>45853</v>
      </c>
      <c r="C836" t="s">
        <v>353</v>
      </c>
      <c r="D836" t="s">
        <v>3</v>
      </c>
      <c r="E836" t="s">
        <v>2</v>
      </c>
      <c r="F836" t="s">
        <v>1</v>
      </c>
      <c r="G836" t="s">
        <v>37</v>
      </c>
      <c r="H836">
        <v>10</v>
      </c>
      <c r="I836" s="3">
        <v>27572</v>
      </c>
      <c r="J836" s="2">
        <v>0.05</v>
      </c>
      <c r="K836" s="3">
        <v>261934</v>
      </c>
      <c r="L836" s="3">
        <v>214040.99</v>
      </c>
      <c r="M836" s="3">
        <v>47893.01</v>
      </c>
    </row>
    <row r="837" spans="1:13" x14ac:dyDescent="0.3">
      <c r="A837" t="s">
        <v>352</v>
      </c>
      <c r="B837" s="4">
        <v>45733</v>
      </c>
      <c r="C837" t="s">
        <v>351</v>
      </c>
      <c r="D837" t="s">
        <v>3</v>
      </c>
      <c r="E837" t="s">
        <v>2</v>
      </c>
      <c r="F837" t="s">
        <v>33</v>
      </c>
      <c r="G837" t="s">
        <v>16</v>
      </c>
      <c r="H837">
        <v>5</v>
      </c>
      <c r="I837" s="3">
        <v>68575</v>
      </c>
      <c r="J837" s="2">
        <v>0.1</v>
      </c>
      <c r="K837" s="3">
        <v>308587.5</v>
      </c>
      <c r="L837" s="3">
        <v>227178.32</v>
      </c>
      <c r="M837" s="3">
        <v>81409.179999999993</v>
      </c>
    </row>
    <row r="838" spans="1:13" x14ac:dyDescent="0.3">
      <c r="A838" t="s">
        <v>350</v>
      </c>
      <c r="B838" s="4">
        <v>45927</v>
      </c>
      <c r="C838" t="s">
        <v>349</v>
      </c>
      <c r="D838" t="s">
        <v>42</v>
      </c>
      <c r="E838" t="s">
        <v>8</v>
      </c>
      <c r="F838" t="s">
        <v>7</v>
      </c>
      <c r="G838" t="s">
        <v>20</v>
      </c>
      <c r="H838">
        <v>2</v>
      </c>
      <c r="I838" s="3">
        <v>56634</v>
      </c>
      <c r="J838" s="2">
        <v>0</v>
      </c>
      <c r="K838" s="3">
        <v>113268</v>
      </c>
      <c r="L838" s="3">
        <v>89522.33</v>
      </c>
      <c r="M838" s="3">
        <v>23745.67</v>
      </c>
    </row>
    <row r="839" spans="1:13" x14ac:dyDescent="0.3">
      <c r="A839" t="s">
        <v>348</v>
      </c>
      <c r="B839" s="4">
        <v>45631</v>
      </c>
      <c r="C839" t="s">
        <v>347</v>
      </c>
      <c r="D839" t="s">
        <v>17</v>
      </c>
      <c r="E839" t="s">
        <v>2</v>
      </c>
      <c r="F839" t="s">
        <v>33</v>
      </c>
      <c r="G839" t="s">
        <v>20</v>
      </c>
      <c r="H839">
        <v>6</v>
      </c>
      <c r="I839" s="3">
        <v>3893</v>
      </c>
      <c r="J839" s="2">
        <v>0</v>
      </c>
      <c r="K839" s="3">
        <v>23358</v>
      </c>
      <c r="L839" s="3">
        <v>19804.75</v>
      </c>
      <c r="M839" s="3">
        <v>3553.25</v>
      </c>
    </row>
    <row r="840" spans="1:13" x14ac:dyDescent="0.3">
      <c r="A840" t="s">
        <v>346</v>
      </c>
      <c r="B840" s="4">
        <v>46075</v>
      </c>
      <c r="C840" t="s">
        <v>345</v>
      </c>
      <c r="D840" t="s">
        <v>9</v>
      </c>
      <c r="E840" t="s">
        <v>8</v>
      </c>
      <c r="F840" t="s">
        <v>13</v>
      </c>
      <c r="G840" t="s">
        <v>12</v>
      </c>
      <c r="H840">
        <v>7</v>
      </c>
      <c r="I840" s="3">
        <v>22118</v>
      </c>
      <c r="J840" s="2">
        <v>0.1</v>
      </c>
      <c r="K840" s="3">
        <v>139343.4</v>
      </c>
      <c r="L840" s="3">
        <v>105082.13</v>
      </c>
      <c r="M840" s="3">
        <v>34261.269999999997</v>
      </c>
    </row>
    <row r="841" spans="1:13" x14ac:dyDescent="0.3">
      <c r="A841" t="s">
        <v>344</v>
      </c>
      <c r="B841" s="4">
        <v>46042</v>
      </c>
      <c r="C841" t="s">
        <v>343</v>
      </c>
      <c r="D841" t="s">
        <v>56</v>
      </c>
      <c r="E841" t="s">
        <v>24</v>
      </c>
      <c r="F841" t="s">
        <v>1</v>
      </c>
      <c r="G841" t="s">
        <v>12</v>
      </c>
      <c r="H841">
        <v>5</v>
      </c>
      <c r="I841" s="3">
        <v>72240</v>
      </c>
      <c r="J841" s="2">
        <v>0.05</v>
      </c>
      <c r="K841" s="3">
        <v>343140</v>
      </c>
      <c r="L841" s="3">
        <v>191094.75</v>
      </c>
      <c r="M841" s="3">
        <v>152045.25</v>
      </c>
    </row>
    <row r="842" spans="1:13" x14ac:dyDescent="0.3">
      <c r="A842" t="s">
        <v>342</v>
      </c>
      <c r="B842" s="4">
        <v>45867</v>
      </c>
      <c r="C842" t="s">
        <v>341</v>
      </c>
      <c r="D842" t="s">
        <v>53</v>
      </c>
      <c r="E842" t="s">
        <v>2</v>
      </c>
      <c r="F842" t="s">
        <v>13</v>
      </c>
      <c r="G842" t="s">
        <v>20</v>
      </c>
      <c r="H842">
        <v>13</v>
      </c>
      <c r="I842" s="3">
        <v>17356</v>
      </c>
      <c r="J842" s="2">
        <v>0.05</v>
      </c>
      <c r="K842" s="3">
        <v>214346.6</v>
      </c>
      <c r="L842" s="3">
        <v>130376.25</v>
      </c>
      <c r="M842" s="3">
        <v>83970.35</v>
      </c>
    </row>
    <row r="843" spans="1:13" x14ac:dyDescent="0.3">
      <c r="A843" t="s">
        <v>340</v>
      </c>
      <c r="B843" s="4">
        <v>45679</v>
      </c>
      <c r="C843" t="s">
        <v>339</v>
      </c>
      <c r="D843" t="s">
        <v>53</v>
      </c>
      <c r="E843" t="s">
        <v>2</v>
      </c>
      <c r="F843" t="s">
        <v>23</v>
      </c>
      <c r="G843" t="s">
        <v>6</v>
      </c>
      <c r="H843">
        <v>8</v>
      </c>
      <c r="I843" s="3">
        <v>55093</v>
      </c>
      <c r="J843" s="2">
        <v>0.15</v>
      </c>
      <c r="K843" s="3">
        <v>374632.4</v>
      </c>
      <c r="L843" s="3">
        <v>258592.14</v>
      </c>
      <c r="M843" s="3">
        <v>116040.26</v>
      </c>
    </row>
    <row r="844" spans="1:13" x14ac:dyDescent="0.3">
      <c r="A844" t="s">
        <v>338</v>
      </c>
      <c r="B844" s="4">
        <v>45936</v>
      </c>
      <c r="C844" t="s">
        <v>337</v>
      </c>
      <c r="D844" t="s">
        <v>3</v>
      </c>
      <c r="E844" t="s">
        <v>2</v>
      </c>
      <c r="F844" t="s">
        <v>23</v>
      </c>
      <c r="G844" t="s">
        <v>12</v>
      </c>
      <c r="H844">
        <v>7</v>
      </c>
      <c r="I844" s="3">
        <v>19412</v>
      </c>
      <c r="J844" s="2">
        <v>0.05</v>
      </c>
      <c r="K844" s="3">
        <v>129089.8</v>
      </c>
      <c r="L844" s="3">
        <v>106370.5</v>
      </c>
      <c r="M844" s="3">
        <v>22719.3</v>
      </c>
    </row>
    <row r="845" spans="1:13" x14ac:dyDescent="0.3">
      <c r="A845" t="s">
        <v>336</v>
      </c>
      <c r="B845" s="4">
        <v>45729</v>
      </c>
      <c r="C845" t="s">
        <v>335</v>
      </c>
      <c r="D845" t="s">
        <v>25</v>
      </c>
      <c r="E845" t="s">
        <v>24</v>
      </c>
      <c r="F845" t="s">
        <v>33</v>
      </c>
      <c r="G845" t="s">
        <v>0</v>
      </c>
      <c r="H845">
        <v>13</v>
      </c>
      <c r="I845" s="3">
        <v>13135</v>
      </c>
      <c r="J845" s="2">
        <v>0.15</v>
      </c>
      <c r="K845" s="3">
        <v>145141.75</v>
      </c>
      <c r="L845" s="3">
        <v>102490.61</v>
      </c>
      <c r="M845" s="3">
        <v>42651.14</v>
      </c>
    </row>
    <row r="846" spans="1:13" x14ac:dyDescent="0.3">
      <c r="A846" t="s">
        <v>334</v>
      </c>
      <c r="B846" s="4">
        <v>45728</v>
      </c>
      <c r="C846" t="s">
        <v>333</v>
      </c>
      <c r="D846" t="s">
        <v>25</v>
      </c>
      <c r="E846" t="s">
        <v>24</v>
      </c>
      <c r="F846" t="s">
        <v>1</v>
      </c>
      <c r="G846" t="s">
        <v>37</v>
      </c>
      <c r="H846">
        <v>4</v>
      </c>
      <c r="I846" s="3">
        <v>7415</v>
      </c>
      <c r="J846" s="2">
        <v>0.15</v>
      </c>
      <c r="K846" s="3">
        <v>25211</v>
      </c>
      <c r="L846" s="3">
        <v>21321.64</v>
      </c>
      <c r="M846" s="3">
        <v>3889.36</v>
      </c>
    </row>
    <row r="847" spans="1:13" x14ac:dyDescent="0.3">
      <c r="A847" t="s">
        <v>332</v>
      </c>
      <c r="B847" s="4">
        <v>45640</v>
      </c>
      <c r="C847" t="s">
        <v>331</v>
      </c>
      <c r="D847" t="s">
        <v>42</v>
      </c>
      <c r="E847" t="s">
        <v>8</v>
      </c>
      <c r="F847" t="s">
        <v>7</v>
      </c>
      <c r="G847" t="s">
        <v>37</v>
      </c>
      <c r="H847">
        <v>4</v>
      </c>
      <c r="I847" s="3">
        <v>10109</v>
      </c>
      <c r="J847" s="2">
        <v>0.1</v>
      </c>
      <c r="K847" s="3">
        <v>36392.400000000001</v>
      </c>
      <c r="L847" s="3">
        <v>19242.78</v>
      </c>
      <c r="M847" s="3">
        <v>17149.62</v>
      </c>
    </row>
    <row r="848" spans="1:13" x14ac:dyDescent="0.3">
      <c r="A848" t="s">
        <v>330</v>
      </c>
      <c r="B848" s="4">
        <v>45922</v>
      </c>
      <c r="C848" t="s">
        <v>329</v>
      </c>
      <c r="D848" t="s">
        <v>34</v>
      </c>
      <c r="E848" t="s">
        <v>24</v>
      </c>
      <c r="F848" t="s">
        <v>33</v>
      </c>
      <c r="G848" t="s">
        <v>12</v>
      </c>
      <c r="H848">
        <v>2</v>
      </c>
      <c r="I848" s="3">
        <v>56520</v>
      </c>
      <c r="J848" s="2">
        <v>0.1</v>
      </c>
      <c r="K848" s="3">
        <v>101736</v>
      </c>
      <c r="L848" s="3">
        <v>53509.67</v>
      </c>
      <c r="M848" s="3">
        <v>48226.33</v>
      </c>
    </row>
    <row r="849" spans="1:13" x14ac:dyDescent="0.3">
      <c r="A849" t="s">
        <v>328</v>
      </c>
      <c r="B849" s="4">
        <v>46028</v>
      </c>
      <c r="C849" t="s">
        <v>327</v>
      </c>
      <c r="D849" t="s">
        <v>42</v>
      </c>
      <c r="E849" t="s">
        <v>8</v>
      </c>
      <c r="F849" t="s">
        <v>23</v>
      </c>
      <c r="G849" t="s">
        <v>6</v>
      </c>
      <c r="H849">
        <v>3</v>
      </c>
      <c r="I849" s="3">
        <v>41022</v>
      </c>
      <c r="J849" s="2">
        <v>0.15</v>
      </c>
      <c r="K849" s="3">
        <v>104606.1</v>
      </c>
      <c r="L849" s="3">
        <v>64176.07</v>
      </c>
      <c r="M849" s="3">
        <v>40430.03</v>
      </c>
    </row>
    <row r="850" spans="1:13" x14ac:dyDescent="0.3">
      <c r="A850" t="s">
        <v>326</v>
      </c>
      <c r="B850" s="4">
        <v>45994</v>
      </c>
      <c r="C850" t="s">
        <v>325</v>
      </c>
      <c r="D850" t="s">
        <v>28</v>
      </c>
      <c r="E850" t="s">
        <v>8</v>
      </c>
      <c r="F850" t="s">
        <v>23</v>
      </c>
      <c r="G850" t="s">
        <v>6</v>
      </c>
      <c r="H850">
        <v>15</v>
      </c>
      <c r="I850" s="3">
        <v>22753</v>
      </c>
      <c r="J850" s="2">
        <v>0.2</v>
      </c>
      <c r="K850" s="3">
        <v>273036</v>
      </c>
      <c r="L850" s="3">
        <v>140858.07</v>
      </c>
      <c r="M850" s="3">
        <v>132177.93</v>
      </c>
    </row>
    <row r="851" spans="1:13" x14ac:dyDescent="0.3">
      <c r="A851" t="s">
        <v>324</v>
      </c>
      <c r="B851" s="4">
        <v>45544</v>
      </c>
      <c r="C851" t="s">
        <v>323</v>
      </c>
      <c r="D851" t="s">
        <v>9</v>
      </c>
      <c r="E851" t="s">
        <v>8</v>
      </c>
      <c r="F851" t="s">
        <v>7</v>
      </c>
      <c r="G851" t="s">
        <v>37</v>
      </c>
      <c r="H851">
        <v>3</v>
      </c>
      <c r="I851" s="3">
        <v>8652</v>
      </c>
      <c r="J851" s="2">
        <v>0.1</v>
      </c>
      <c r="K851" s="3">
        <v>23360.400000000001</v>
      </c>
      <c r="L851" s="3">
        <v>15824.63</v>
      </c>
      <c r="M851" s="3">
        <v>7535.77</v>
      </c>
    </row>
    <row r="852" spans="1:13" x14ac:dyDescent="0.3">
      <c r="A852" t="s">
        <v>322</v>
      </c>
      <c r="B852" s="4">
        <v>45593</v>
      </c>
      <c r="C852" t="s">
        <v>321</v>
      </c>
      <c r="D852" t="s">
        <v>53</v>
      </c>
      <c r="E852" t="s">
        <v>2</v>
      </c>
      <c r="F852" t="s">
        <v>1</v>
      </c>
      <c r="G852" t="s">
        <v>6</v>
      </c>
      <c r="H852">
        <v>12</v>
      </c>
      <c r="I852" s="3">
        <v>26068</v>
      </c>
      <c r="J852" s="2">
        <v>0.2</v>
      </c>
      <c r="K852" s="3">
        <v>250252.79999999999</v>
      </c>
      <c r="L852" s="3">
        <v>160549.73000000001</v>
      </c>
      <c r="M852" s="3">
        <v>89703.07</v>
      </c>
    </row>
    <row r="853" spans="1:13" x14ac:dyDescent="0.3">
      <c r="A853" t="s">
        <v>320</v>
      </c>
      <c r="B853" s="4">
        <v>45567</v>
      </c>
      <c r="C853" t="s">
        <v>319</v>
      </c>
      <c r="D853" t="s">
        <v>17</v>
      </c>
      <c r="E853" t="s">
        <v>2</v>
      </c>
      <c r="F853" t="s">
        <v>33</v>
      </c>
      <c r="G853" t="s">
        <v>37</v>
      </c>
      <c r="H853">
        <v>5</v>
      </c>
      <c r="I853" s="3">
        <v>60489</v>
      </c>
      <c r="J853" s="2">
        <v>0</v>
      </c>
      <c r="K853" s="3">
        <v>302445</v>
      </c>
      <c r="L853" s="3">
        <v>176645.32</v>
      </c>
      <c r="M853" s="3">
        <v>125799.67999999999</v>
      </c>
    </row>
    <row r="854" spans="1:13" x14ac:dyDescent="0.3">
      <c r="A854" t="s">
        <v>318</v>
      </c>
      <c r="B854" s="4">
        <v>46076</v>
      </c>
      <c r="C854" t="s">
        <v>317</v>
      </c>
      <c r="D854" t="s">
        <v>42</v>
      </c>
      <c r="E854" t="s">
        <v>8</v>
      </c>
      <c r="F854" t="s">
        <v>23</v>
      </c>
      <c r="G854" t="s">
        <v>20</v>
      </c>
      <c r="H854">
        <v>11</v>
      </c>
      <c r="I854" s="3">
        <v>53215</v>
      </c>
      <c r="J854" s="2">
        <v>0</v>
      </c>
      <c r="K854" s="3">
        <v>585365</v>
      </c>
      <c r="L854" s="3">
        <v>333327.03999999998</v>
      </c>
      <c r="M854" s="3">
        <v>252037.96</v>
      </c>
    </row>
    <row r="855" spans="1:13" x14ac:dyDescent="0.3">
      <c r="A855" t="s">
        <v>316</v>
      </c>
      <c r="B855" s="4">
        <v>45684</v>
      </c>
      <c r="C855" t="s">
        <v>315</v>
      </c>
      <c r="D855" t="s">
        <v>28</v>
      </c>
      <c r="E855" t="s">
        <v>8</v>
      </c>
      <c r="F855" t="s">
        <v>7</v>
      </c>
      <c r="G855" t="s">
        <v>12</v>
      </c>
      <c r="H855">
        <v>6</v>
      </c>
      <c r="I855" s="3">
        <v>44905</v>
      </c>
      <c r="J855" s="2">
        <v>0.05</v>
      </c>
      <c r="K855" s="3">
        <v>255958.5</v>
      </c>
      <c r="L855" s="3">
        <v>151828.21</v>
      </c>
      <c r="M855" s="3">
        <v>104130.29</v>
      </c>
    </row>
    <row r="856" spans="1:13" x14ac:dyDescent="0.3">
      <c r="A856" t="s">
        <v>314</v>
      </c>
      <c r="B856" s="4">
        <v>45529</v>
      </c>
      <c r="C856" t="s">
        <v>313</v>
      </c>
      <c r="D856" t="s">
        <v>17</v>
      </c>
      <c r="E856" t="s">
        <v>2</v>
      </c>
      <c r="F856" t="s">
        <v>23</v>
      </c>
      <c r="G856" t="s">
        <v>37</v>
      </c>
      <c r="H856">
        <v>7</v>
      </c>
      <c r="I856" s="3">
        <v>57453</v>
      </c>
      <c r="J856" s="2">
        <v>0</v>
      </c>
      <c r="K856" s="3">
        <v>402171</v>
      </c>
      <c r="L856" s="3">
        <v>223006.22</v>
      </c>
      <c r="M856" s="3">
        <v>179164.78</v>
      </c>
    </row>
    <row r="857" spans="1:13" x14ac:dyDescent="0.3">
      <c r="A857" t="s">
        <v>312</v>
      </c>
      <c r="B857" s="4">
        <v>45717</v>
      </c>
      <c r="C857" t="s">
        <v>311</v>
      </c>
      <c r="D857" t="s">
        <v>42</v>
      </c>
      <c r="E857" t="s">
        <v>8</v>
      </c>
      <c r="F857" t="s">
        <v>33</v>
      </c>
      <c r="G857" t="s">
        <v>0</v>
      </c>
      <c r="H857">
        <v>5</v>
      </c>
      <c r="I857" s="3">
        <v>14091</v>
      </c>
      <c r="J857" s="2">
        <v>0.15</v>
      </c>
      <c r="K857" s="3">
        <v>59886.75</v>
      </c>
      <c r="L857" s="3">
        <v>40471.78</v>
      </c>
      <c r="M857" s="3">
        <v>19414.97</v>
      </c>
    </row>
    <row r="858" spans="1:13" x14ac:dyDescent="0.3">
      <c r="A858" t="s">
        <v>310</v>
      </c>
      <c r="B858" s="4">
        <v>45785</v>
      </c>
      <c r="C858" t="s">
        <v>309</v>
      </c>
      <c r="D858" t="s">
        <v>3</v>
      </c>
      <c r="E858" t="s">
        <v>2</v>
      </c>
      <c r="F858" t="s">
        <v>7</v>
      </c>
      <c r="G858" t="s">
        <v>37</v>
      </c>
      <c r="H858">
        <v>11</v>
      </c>
      <c r="I858" s="3">
        <v>65960</v>
      </c>
      <c r="J858" s="2">
        <v>0.2</v>
      </c>
      <c r="K858" s="3">
        <v>580448</v>
      </c>
      <c r="L858" s="3">
        <v>454531.65</v>
      </c>
      <c r="M858" s="3">
        <v>125916.35</v>
      </c>
    </row>
    <row r="859" spans="1:13" x14ac:dyDescent="0.3">
      <c r="A859" t="s">
        <v>308</v>
      </c>
      <c r="B859" s="4">
        <v>45780</v>
      </c>
      <c r="C859" t="s">
        <v>307</v>
      </c>
      <c r="D859" t="s">
        <v>28</v>
      </c>
      <c r="E859" t="s">
        <v>8</v>
      </c>
      <c r="F859" t="s">
        <v>1</v>
      </c>
      <c r="G859" t="s">
        <v>6</v>
      </c>
      <c r="H859">
        <v>3</v>
      </c>
      <c r="I859" s="3">
        <v>19520</v>
      </c>
      <c r="J859" s="2">
        <v>0</v>
      </c>
      <c r="K859" s="3">
        <v>58560</v>
      </c>
      <c r="L859" s="3">
        <v>39193.43</v>
      </c>
      <c r="M859" s="3">
        <v>19366.57</v>
      </c>
    </row>
    <row r="860" spans="1:13" x14ac:dyDescent="0.3">
      <c r="A860" t="s">
        <v>306</v>
      </c>
      <c r="B860" s="4">
        <v>46054</v>
      </c>
      <c r="C860" t="s">
        <v>305</v>
      </c>
      <c r="D860" t="s">
        <v>42</v>
      </c>
      <c r="E860" t="s">
        <v>8</v>
      </c>
      <c r="F860" t="s">
        <v>23</v>
      </c>
      <c r="G860" t="s">
        <v>6</v>
      </c>
      <c r="H860">
        <v>12</v>
      </c>
      <c r="I860" s="3">
        <v>25227</v>
      </c>
      <c r="J860" s="2">
        <v>0.2</v>
      </c>
      <c r="K860" s="3">
        <v>242179.20000000001</v>
      </c>
      <c r="L860" s="3">
        <v>204581.34</v>
      </c>
      <c r="M860" s="3">
        <v>37597.86</v>
      </c>
    </row>
    <row r="861" spans="1:13" x14ac:dyDescent="0.3">
      <c r="A861" t="s">
        <v>304</v>
      </c>
      <c r="B861" s="4">
        <v>45535</v>
      </c>
      <c r="C861" t="s">
        <v>303</v>
      </c>
      <c r="D861" t="s">
        <v>3</v>
      </c>
      <c r="E861" t="s">
        <v>2</v>
      </c>
      <c r="F861" t="s">
        <v>13</v>
      </c>
      <c r="G861" t="s">
        <v>6</v>
      </c>
      <c r="H861">
        <v>13</v>
      </c>
      <c r="I861" s="3">
        <v>43210</v>
      </c>
      <c r="J861" s="2">
        <v>0.05</v>
      </c>
      <c r="K861" s="3">
        <v>533643.5</v>
      </c>
      <c r="L861" s="3">
        <v>276862.31</v>
      </c>
      <c r="M861" s="3">
        <v>256781.19</v>
      </c>
    </row>
    <row r="862" spans="1:13" x14ac:dyDescent="0.3">
      <c r="A862" t="s">
        <v>302</v>
      </c>
      <c r="B862" s="4">
        <v>45721</v>
      </c>
      <c r="C862" t="s">
        <v>301</v>
      </c>
      <c r="D862" t="s">
        <v>56</v>
      </c>
      <c r="E862" t="s">
        <v>24</v>
      </c>
      <c r="F862" t="s">
        <v>7</v>
      </c>
      <c r="G862" t="s">
        <v>12</v>
      </c>
      <c r="H862">
        <v>3</v>
      </c>
      <c r="I862" s="3">
        <v>49066</v>
      </c>
      <c r="J862" s="2">
        <v>0.15</v>
      </c>
      <c r="K862" s="3">
        <v>125118.3</v>
      </c>
      <c r="L862" s="3">
        <v>93748.1</v>
      </c>
      <c r="M862" s="3">
        <v>31370.2</v>
      </c>
    </row>
    <row r="863" spans="1:13" x14ac:dyDescent="0.3">
      <c r="A863" t="s">
        <v>300</v>
      </c>
      <c r="B863" s="4">
        <v>45866</v>
      </c>
      <c r="C863" t="s">
        <v>299</v>
      </c>
      <c r="D863" t="s">
        <v>56</v>
      </c>
      <c r="E863" t="s">
        <v>24</v>
      </c>
      <c r="F863" t="s">
        <v>33</v>
      </c>
      <c r="G863" t="s">
        <v>12</v>
      </c>
      <c r="H863">
        <v>3</v>
      </c>
      <c r="I863" s="3">
        <v>1471</v>
      </c>
      <c r="J863" s="2">
        <v>0.05</v>
      </c>
      <c r="K863" s="3">
        <v>4192.3500000000004</v>
      </c>
      <c r="L863" s="3">
        <v>2230.38</v>
      </c>
      <c r="M863" s="3">
        <v>1961.97</v>
      </c>
    </row>
    <row r="864" spans="1:13" x14ac:dyDescent="0.3">
      <c r="A864" t="s">
        <v>298</v>
      </c>
      <c r="B864" s="4">
        <v>45572</v>
      </c>
      <c r="C864" t="s">
        <v>297</v>
      </c>
      <c r="D864" t="s">
        <v>42</v>
      </c>
      <c r="E864" t="s">
        <v>8</v>
      </c>
      <c r="F864" t="s">
        <v>33</v>
      </c>
      <c r="G864" t="s">
        <v>37</v>
      </c>
      <c r="H864">
        <v>11</v>
      </c>
      <c r="I864" s="3">
        <v>35167</v>
      </c>
      <c r="J864" s="2">
        <v>0</v>
      </c>
      <c r="K864" s="3">
        <v>386837</v>
      </c>
      <c r="L864" s="3">
        <v>209016.43</v>
      </c>
      <c r="M864" s="3">
        <v>177820.57</v>
      </c>
    </row>
    <row r="865" spans="1:13" x14ac:dyDescent="0.3">
      <c r="A865" t="s">
        <v>296</v>
      </c>
      <c r="B865" s="4">
        <v>45632</v>
      </c>
      <c r="C865" t="s">
        <v>295</v>
      </c>
      <c r="D865" t="s">
        <v>42</v>
      </c>
      <c r="E865" t="s">
        <v>8</v>
      </c>
      <c r="F865" t="s">
        <v>23</v>
      </c>
      <c r="G865" t="s">
        <v>0</v>
      </c>
      <c r="H865">
        <v>1</v>
      </c>
      <c r="I865" s="3">
        <v>21054</v>
      </c>
      <c r="J865" s="2">
        <v>0</v>
      </c>
      <c r="K865" s="3">
        <v>21054</v>
      </c>
      <c r="L865" s="3">
        <v>16968.189999999999</v>
      </c>
      <c r="M865" s="3">
        <v>4085.81</v>
      </c>
    </row>
    <row r="866" spans="1:13" x14ac:dyDescent="0.3">
      <c r="A866" t="s">
        <v>294</v>
      </c>
      <c r="B866" s="4">
        <v>45928</v>
      </c>
      <c r="C866" t="s">
        <v>293</v>
      </c>
      <c r="D866" t="s">
        <v>28</v>
      </c>
      <c r="E866" t="s">
        <v>8</v>
      </c>
      <c r="F866" t="s">
        <v>13</v>
      </c>
      <c r="G866" t="s">
        <v>20</v>
      </c>
      <c r="H866">
        <v>14</v>
      </c>
      <c r="I866" s="3">
        <v>74274</v>
      </c>
      <c r="J866" s="2">
        <v>0.2</v>
      </c>
      <c r="K866" s="3">
        <v>831868.8</v>
      </c>
      <c r="L866" s="3">
        <v>544621.99</v>
      </c>
      <c r="M866" s="3">
        <v>287246.81</v>
      </c>
    </row>
    <row r="867" spans="1:13" x14ac:dyDescent="0.3">
      <c r="A867" t="s">
        <v>292</v>
      </c>
      <c r="B867" s="4">
        <v>45659</v>
      </c>
      <c r="C867" t="s">
        <v>291</v>
      </c>
      <c r="D867" t="s">
        <v>17</v>
      </c>
      <c r="E867" t="s">
        <v>2</v>
      </c>
      <c r="F867" t="s">
        <v>1</v>
      </c>
      <c r="G867" t="s">
        <v>0</v>
      </c>
      <c r="H867">
        <v>9</v>
      </c>
      <c r="I867" s="3">
        <v>27760</v>
      </c>
      <c r="J867" s="2">
        <v>0.15</v>
      </c>
      <c r="K867" s="3">
        <v>212364</v>
      </c>
      <c r="L867" s="3">
        <v>160250.98000000001</v>
      </c>
      <c r="M867" s="3">
        <v>52113.02</v>
      </c>
    </row>
    <row r="868" spans="1:13" x14ac:dyDescent="0.3">
      <c r="A868" t="s">
        <v>290</v>
      </c>
      <c r="B868" s="4">
        <v>45777</v>
      </c>
      <c r="C868" t="s">
        <v>289</v>
      </c>
      <c r="D868" t="s">
        <v>34</v>
      </c>
      <c r="E868" t="s">
        <v>24</v>
      </c>
      <c r="F868" t="s">
        <v>13</v>
      </c>
      <c r="G868" t="s">
        <v>12</v>
      </c>
      <c r="H868">
        <v>9</v>
      </c>
      <c r="I868" s="3">
        <v>30169</v>
      </c>
      <c r="J868" s="2">
        <v>0.2</v>
      </c>
      <c r="K868" s="3">
        <v>217216.8</v>
      </c>
      <c r="L868" s="3">
        <v>129699.28</v>
      </c>
      <c r="M868" s="3">
        <v>87517.52</v>
      </c>
    </row>
    <row r="869" spans="1:13" x14ac:dyDescent="0.3">
      <c r="A869" t="s">
        <v>288</v>
      </c>
      <c r="B869" s="4">
        <v>45750</v>
      </c>
      <c r="C869" t="s">
        <v>287</v>
      </c>
      <c r="D869" t="s">
        <v>42</v>
      </c>
      <c r="E869" t="s">
        <v>8</v>
      </c>
      <c r="F869" t="s">
        <v>13</v>
      </c>
      <c r="G869" t="s">
        <v>0</v>
      </c>
      <c r="H869">
        <v>7</v>
      </c>
      <c r="I869" s="3">
        <v>57326</v>
      </c>
      <c r="J869" s="2">
        <v>0.2</v>
      </c>
      <c r="K869" s="3">
        <v>321025.59999999998</v>
      </c>
      <c r="L869" s="3">
        <v>181348.29</v>
      </c>
      <c r="M869" s="3">
        <v>139677.31</v>
      </c>
    </row>
    <row r="870" spans="1:13" x14ac:dyDescent="0.3">
      <c r="A870" t="s">
        <v>286</v>
      </c>
      <c r="B870" s="4">
        <v>45619</v>
      </c>
      <c r="C870" t="s">
        <v>285</v>
      </c>
      <c r="D870" t="s">
        <v>25</v>
      </c>
      <c r="E870" t="s">
        <v>24</v>
      </c>
      <c r="F870" t="s">
        <v>1</v>
      </c>
      <c r="G870" t="s">
        <v>6</v>
      </c>
      <c r="H870">
        <v>13</v>
      </c>
      <c r="I870" s="3">
        <v>59441</v>
      </c>
      <c r="J870" s="2">
        <v>0.1</v>
      </c>
      <c r="K870" s="3">
        <v>695459.7</v>
      </c>
      <c r="L870" s="3">
        <v>473669.04</v>
      </c>
      <c r="M870" s="3">
        <v>221790.66</v>
      </c>
    </row>
    <row r="871" spans="1:13" x14ac:dyDescent="0.3">
      <c r="A871" t="s">
        <v>284</v>
      </c>
      <c r="B871" s="4">
        <v>45582</v>
      </c>
      <c r="C871" t="s">
        <v>283</v>
      </c>
      <c r="D871" t="s">
        <v>9</v>
      </c>
      <c r="E871" t="s">
        <v>8</v>
      </c>
      <c r="F871" t="s">
        <v>23</v>
      </c>
      <c r="G871" t="s">
        <v>0</v>
      </c>
      <c r="H871">
        <v>7</v>
      </c>
      <c r="I871" s="3">
        <v>72308</v>
      </c>
      <c r="J871" s="2">
        <v>0.1</v>
      </c>
      <c r="K871" s="3">
        <v>455540.4</v>
      </c>
      <c r="L871" s="3">
        <v>274497.51</v>
      </c>
      <c r="M871" s="3">
        <v>181042.89</v>
      </c>
    </row>
    <row r="872" spans="1:13" x14ac:dyDescent="0.3">
      <c r="A872" t="s">
        <v>282</v>
      </c>
      <c r="B872" s="4">
        <v>45483</v>
      </c>
      <c r="C872" t="s">
        <v>281</v>
      </c>
      <c r="D872" t="s">
        <v>56</v>
      </c>
      <c r="E872" t="s">
        <v>24</v>
      </c>
      <c r="F872" t="s">
        <v>7</v>
      </c>
      <c r="G872" t="s">
        <v>16</v>
      </c>
      <c r="H872">
        <v>12</v>
      </c>
      <c r="I872" s="3">
        <v>28907</v>
      </c>
      <c r="J872" s="2">
        <v>0.15</v>
      </c>
      <c r="K872" s="3">
        <v>294851.40000000002</v>
      </c>
      <c r="L872" s="3">
        <v>236397.25</v>
      </c>
      <c r="M872" s="3">
        <v>58454.15</v>
      </c>
    </row>
    <row r="873" spans="1:13" x14ac:dyDescent="0.3">
      <c r="A873" t="s">
        <v>280</v>
      </c>
      <c r="B873" s="4">
        <v>46021</v>
      </c>
      <c r="C873" t="s">
        <v>279</v>
      </c>
      <c r="D873" t="s">
        <v>25</v>
      </c>
      <c r="E873" t="s">
        <v>24</v>
      </c>
      <c r="F873" t="s">
        <v>33</v>
      </c>
      <c r="G873" t="s">
        <v>6</v>
      </c>
      <c r="H873">
        <v>13</v>
      </c>
      <c r="I873" s="3">
        <v>48235</v>
      </c>
      <c r="J873" s="2">
        <v>0.05</v>
      </c>
      <c r="K873" s="3">
        <v>595702.25</v>
      </c>
      <c r="L873" s="3">
        <v>470075.63</v>
      </c>
      <c r="M873" s="3">
        <v>125626.62</v>
      </c>
    </row>
    <row r="874" spans="1:13" x14ac:dyDescent="0.3">
      <c r="A874" t="s">
        <v>278</v>
      </c>
      <c r="B874" s="4">
        <v>46160</v>
      </c>
      <c r="C874" t="s">
        <v>277</v>
      </c>
      <c r="D874" t="s">
        <v>9</v>
      </c>
      <c r="E874" t="s">
        <v>8</v>
      </c>
      <c r="F874" t="s">
        <v>23</v>
      </c>
      <c r="G874" t="s">
        <v>0</v>
      </c>
      <c r="H874">
        <v>5</v>
      </c>
      <c r="I874" s="3">
        <v>49031</v>
      </c>
      <c r="J874" s="2">
        <v>0</v>
      </c>
      <c r="K874" s="3">
        <v>245155</v>
      </c>
      <c r="L874" s="3">
        <v>145984.26</v>
      </c>
      <c r="M874" s="3">
        <v>99170.74</v>
      </c>
    </row>
    <row r="875" spans="1:13" x14ac:dyDescent="0.3">
      <c r="A875" t="s">
        <v>276</v>
      </c>
      <c r="B875" s="4">
        <v>45894</v>
      </c>
      <c r="C875" t="s">
        <v>275</v>
      </c>
      <c r="D875" t="s">
        <v>56</v>
      </c>
      <c r="E875" t="s">
        <v>24</v>
      </c>
      <c r="F875" t="s">
        <v>7</v>
      </c>
      <c r="G875" t="s">
        <v>12</v>
      </c>
      <c r="H875">
        <v>1</v>
      </c>
      <c r="I875" s="3">
        <v>58339</v>
      </c>
      <c r="J875" s="2">
        <v>0.2</v>
      </c>
      <c r="K875" s="3">
        <v>46671.199999999997</v>
      </c>
      <c r="L875" s="3">
        <v>31907.74</v>
      </c>
      <c r="M875" s="3">
        <v>14763.46</v>
      </c>
    </row>
    <row r="876" spans="1:13" x14ac:dyDescent="0.3">
      <c r="A876" t="s">
        <v>274</v>
      </c>
      <c r="B876" s="4">
        <v>45772</v>
      </c>
      <c r="C876" t="s">
        <v>273</v>
      </c>
      <c r="D876" t="s">
        <v>56</v>
      </c>
      <c r="E876" t="s">
        <v>24</v>
      </c>
      <c r="F876" t="s">
        <v>7</v>
      </c>
      <c r="G876" t="s">
        <v>12</v>
      </c>
      <c r="H876">
        <v>8</v>
      </c>
      <c r="I876" s="3">
        <v>15230</v>
      </c>
      <c r="J876" s="2">
        <v>0.05</v>
      </c>
      <c r="K876" s="3">
        <v>115748</v>
      </c>
      <c r="L876" s="3">
        <v>77630.09</v>
      </c>
      <c r="M876" s="3">
        <v>38117.910000000003</v>
      </c>
    </row>
    <row r="877" spans="1:13" x14ac:dyDescent="0.3">
      <c r="A877" t="s">
        <v>272</v>
      </c>
      <c r="B877" s="4">
        <v>45775</v>
      </c>
      <c r="C877" t="s">
        <v>271</v>
      </c>
      <c r="D877" t="s">
        <v>56</v>
      </c>
      <c r="E877" t="s">
        <v>24</v>
      </c>
      <c r="F877" t="s">
        <v>33</v>
      </c>
      <c r="G877" t="s">
        <v>0</v>
      </c>
      <c r="H877">
        <v>1</v>
      </c>
      <c r="I877" s="3">
        <v>18188</v>
      </c>
      <c r="J877" s="2">
        <v>0.1</v>
      </c>
      <c r="K877" s="3">
        <v>16369.2</v>
      </c>
      <c r="L877" s="3">
        <v>13047.79</v>
      </c>
      <c r="M877" s="3">
        <v>3321.41</v>
      </c>
    </row>
    <row r="878" spans="1:13" x14ac:dyDescent="0.3">
      <c r="A878" t="s">
        <v>270</v>
      </c>
      <c r="B878" s="4">
        <v>45441</v>
      </c>
      <c r="C878" t="s">
        <v>269</v>
      </c>
      <c r="D878" t="s">
        <v>25</v>
      </c>
      <c r="E878" t="s">
        <v>24</v>
      </c>
      <c r="F878" t="s">
        <v>7</v>
      </c>
      <c r="G878" t="s">
        <v>0</v>
      </c>
      <c r="H878">
        <v>6</v>
      </c>
      <c r="I878" s="3">
        <v>21173</v>
      </c>
      <c r="J878" s="2">
        <v>0.05</v>
      </c>
      <c r="K878" s="3">
        <v>120686.1</v>
      </c>
      <c r="L878" s="3">
        <v>90451.35</v>
      </c>
      <c r="M878" s="3">
        <v>30234.75</v>
      </c>
    </row>
    <row r="879" spans="1:13" x14ac:dyDescent="0.3">
      <c r="A879" t="s">
        <v>268</v>
      </c>
      <c r="B879" s="4">
        <v>45465</v>
      </c>
      <c r="C879" t="s">
        <v>267</v>
      </c>
      <c r="D879" t="s">
        <v>53</v>
      </c>
      <c r="E879" t="s">
        <v>2</v>
      </c>
      <c r="F879" t="s">
        <v>1</v>
      </c>
      <c r="G879" t="s">
        <v>37</v>
      </c>
      <c r="H879">
        <v>14</v>
      </c>
      <c r="I879" s="3">
        <v>33162</v>
      </c>
      <c r="J879" s="2">
        <v>0.1</v>
      </c>
      <c r="K879" s="3">
        <v>417841.2</v>
      </c>
      <c r="L879" s="3">
        <v>214287.89</v>
      </c>
      <c r="M879" s="3">
        <v>203553.31</v>
      </c>
    </row>
    <row r="880" spans="1:13" x14ac:dyDescent="0.3">
      <c r="A880" t="s">
        <v>266</v>
      </c>
      <c r="B880" s="4">
        <v>45734</v>
      </c>
      <c r="C880" t="s">
        <v>265</v>
      </c>
      <c r="D880" t="s">
        <v>56</v>
      </c>
      <c r="E880" t="s">
        <v>24</v>
      </c>
      <c r="F880" t="s">
        <v>23</v>
      </c>
      <c r="G880" t="s">
        <v>0</v>
      </c>
      <c r="H880">
        <v>4</v>
      </c>
      <c r="I880" s="3">
        <v>20967</v>
      </c>
      <c r="J880" s="2">
        <v>0.1</v>
      </c>
      <c r="K880" s="3">
        <v>75481.2</v>
      </c>
      <c r="L880" s="3">
        <v>51193.81</v>
      </c>
      <c r="M880" s="3">
        <v>24287.39</v>
      </c>
    </row>
    <row r="881" spans="1:13" x14ac:dyDescent="0.3">
      <c r="A881" t="s">
        <v>264</v>
      </c>
      <c r="B881" s="4">
        <v>45493</v>
      </c>
      <c r="C881" t="s">
        <v>263</v>
      </c>
      <c r="D881" t="s">
        <v>34</v>
      </c>
      <c r="E881" t="s">
        <v>24</v>
      </c>
      <c r="F881" t="s">
        <v>1</v>
      </c>
      <c r="G881" t="s">
        <v>16</v>
      </c>
      <c r="H881">
        <v>7</v>
      </c>
      <c r="I881" s="3">
        <v>34459</v>
      </c>
      <c r="J881" s="2">
        <v>0</v>
      </c>
      <c r="K881" s="3">
        <v>241213</v>
      </c>
      <c r="L881" s="3">
        <v>153697.07999999999</v>
      </c>
      <c r="M881" s="3">
        <v>87515.92</v>
      </c>
    </row>
    <row r="882" spans="1:13" x14ac:dyDescent="0.3">
      <c r="A882" t="s">
        <v>262</v>
      </c>
      <c r="B882" s="4">
        <v>46092</v>
      </c>
      <c r="C882" t="s">
        <v>261</v>
      </c>
      <c r="D882" t="s">
        <v>53</v>
      </c>
      <c r="E882" t="s">
        <v>2</v>
      </c>
      <c r="F882" t="s">
        <v>23</v>
      </c>
      <c r="G882" t="s">
        <v>20</v>
      </c>
      <c r="H882">
        <v>6</v>
      </c>
      <c r="I882" s="3">
        <v>15951</v>
      </c>
      <c r="J882" s="2">
        <v>0.1</v>
      </c>
      <c r="K882" s="3">
        <v>86135.4</v>
      </c>
      <c r="L882" s="3">
        <v>53105.39</v>
      </c>
      <c r="M882" s="3">
        <v>33030.01</v>
      </c>
    </row>
    <row r="883" spans="1:13" x14ac:dyDescent="0.3">
      <c r="A883" t="s">
        <v>260</v>
      </c>
      <c r="B883" s="4">
        <v>45962</v>
      </c>
      <c r="C883" t="s">
        <v>259</v>
      </c>
      <c r="D883" t="s">
        <v>42</v>
      </c>
      <c r="E883" t="s">
        <v>8</v>
      </c>
      <c r="F883" t="s">
        <v>13</v>
      </c>
      <c r="G883" t="s">
        <v>12</v>
      </c>
      <c r="H883">
        <v>4</v>
      </c>
      <c r="I883" s="3">
        <v>3671</v>
      </c>
      <c r="J883" s="2">
        <v>0.2</v>
      </c>
      <c r="K883" s="3">
        <v>11747.2</v>
      </c>
      <c r="L883" s="3">
        <v>8646.17</v>
      </c>
      <c r="M883" s="3">
        <v>3101.03</v>
      </c>
    </row>
    <row r="884" spans="1:13" x14ac:dyDescent="0.3">
      <c r="A884" t="s">
        <v>258</v>
      </c>
      <c r="B884" s="4">
        <v>45861</v>
      </c>
      <c r="C884" t="s">
        <v>257</v>
      </c>
      <c r="D884" t="s">
        <v>25</v>
      </c>
      <c r="E884" t="s">
        <v>24</v>
      </c>
      <c r="F884" t="s">
        <v>13</v>
      </c>
      <c r="G884" t="s">
        <v>0</v>
      </c>
      <c r="H884">
        <v>4</v>
      </c>
      <c r="I884" s="3">
        <v>32549</v>
      </c>
      <c r="J884" s="2">
        <v>0.05</v>
      </c>
      <c r="K884" s="3">
        <v>123686.2</v>
      </c>
      <c r="L884" s="3">
        <v>82245.320000000007</v>
      </c>
      <c r="M884" s="3">
        <v>41440.879999999997</v>
      </c>
    </row>
    <row r="885" spans="1:13" x14ac:dyDescent="0.3">
      <c r="A885" t="s">
        <v>256</v>
      </c>
      <c r="B885" s="4">
        <v>45750</v>
      </c>
      <c r="C885" t="s">
        <v>255</v>
      </c>
      <c r="D885" t="s">
        <v>3</v>
      </c>
      <c r="E885" t="s">
        <v>2</v>
      </c>
      <c r="F885" t="s">
        <v>13</v>
      </c>
      <c r="G885" t="s">
        <v>37</v>
      </c>
      <c r="H885">
        <v>10</v>
      </c>
      <c r="I885" s="3">
        <v>43642</v>
      </c>
      <c r="J885" s="2">
        <v>0.2</v>
      </c>
      <c r="K885" s="3">
        <v>349136</v>
      </c>
      <c r="L885" s="3">
        <v>253311.83</v>
      </c>
      <c r="M885" s="3">
        <v>95824.17</v>
      </c>
    </row>
    <row r="886" spans="1:13" x14ac:dyDescent="0.3">
      <c r="A886" t="s">
        <v>254</v>
      </c>
      <c r="B886" s="4">
        <v>45693</v>
      </c>
      <c r="C886" t="s">
        <v>253</v>
      </c>
      <c r="D886" t="s">
        <v>28</v>
      </c>
      <c r="E886" t="s">
        <v>8</v>
      </c>
      <c r="F886" t="s">
        <v>33</v>
      </c>
      <c r="G886" t="s">
        <v>0</v>
      </c>
      <c r="H886">
        <v>2</v>
      </c>
      <c r="I886" s="3">
        <v>32112</v>
      </c>
      <c r="J886" s="2">
        <v>0.05</v>
      </c>
      <c r="K886" s="3">
        <v>61012.800000000003</v>
      </c>
      <c r="L886" s="3">
        <v>39913.22</v>
      </c>
      <c r="M886" s="3">
        <v>21099.58</v>
      </c>
    </row>
    <row r="887" spans="1:13" x14ac:dyDescent="0.3">
      <c r="A887" t="s">
        <v>252</v>
      </c>
      <c r="B887" s="4">
        <v>45852</v>
      </c>
      <c r="C887" t="s">
        <v>251</v>
      </c>
      <c r="D887" t="s">
        <v>3</v>
      </c>
      <c r="E887" t="s">
        <v>2</v>
      </c>
      <c r="F887" t="s">
        <v>33</v>
      </c>
      <c r="G887" t="s">
        <v>12</v>
      </c>
      <c r="H887">
        <v>2</v>
      </c>
      <c r="I887" s="3">
        <v>44506</v>
      </c>
      <c r="J887" s="2">
        <v>0.15</v>
      </c>
      <c r="K887" s="3">
        <v>75660.2</v>
      </c>
      <c r="L887" s="3">
        <v>44195.59</v>
      </c>
      <c r="M887" s="3">
        <v>31464.61</v>
      </c>
    </row>
    <row r="888" spans="1:13" x14ac:dyDescent="0.3">
      <c r="A888" t="s">
        <v>250</v>
      </c>
      <c r="B888" s="4">
        <v>45632</v>
      </c>
      <c r="C888" t="s">
        <v>249</v>
      </c>
      <c r="D888" t="s">
        <v>34</v>
      </c>
      <c r="E888" t="s">
        <v>24</v>
      </c>
      <c r="F888" t="s">
        <v>13</v>
      </c>
      <c r="G888" t="s">
        <v>0</v>
      </c>
      <c r="H888">
        <v>4</v>
      </c>
      <c r="I888" s="3">
        <v>50441</v>
      </c>
      <c r="J888" s="2">
        <v>0</v>
      </c>
      <c r="K888" s="3">
        <v>201764</v>
      </c>
      <c r="L888" s="3">
        <v>137580.79999999999</v>
      </c>
      <c r="M888" s="3">
        <v>64183.199999999997</v>
      </c>
    </row>
    <row r="889" spans="1:13" x14ac:dyDescent="0.3">
      <c r="A889" t="s">
        <v>248</v>
      </c>
      <c r="B889" s="4">
        <v>46122</v>
      </c>
      <c r="C889" t="s">
        <v>247</v>
      </c>
      <c r="D889" t="s">
        <v>56</v>
      </c>
      <c r="E889" t="s">
        <v>24</v>
      </c>
      <c r="F889" t="s">
        <v>23</v>
      </c>
      <c r="G889" t="s">
        <v>6</v>
      </c>
      <c r="H889">
        <v>13</v>
      </c>
      <c r="I889" s="3">
        <v>63803</v>
      </c>
      <c r="J889" s="2">
        <v>0.15</v>
      </c>
      <c r="K889" s="3">
        <v>705023.15</v>
      </c>
      <c r="L889" s="3">
        <v>596063.22</v>
      </c>
      <c r="M889" s="3">
        <v>108959.93</v>
      </c>
    </row>
    <row r="890" spans="1:13" x14ac:dyDescent="0.3">
      <c r="A890" t="s">
        <v>246</v>
      </c>
      <c r="B890" s="4">
        <v>46107</v>
      </c>
      <c r="C890" t="s">
        <v>245</v>
      </c>
      <c r="D890" t="s">
        <v>56</v>
      </c>
      <c r="E890" t="s">
        <v>24</v>
      </c>
      <c r="F890" t="s">
        <v>13</v>
      </c>
      <c r="G890" t="s">
        <v>16</v>
      </c>
      <c r="H890">
        <v>4</v>
      </c>
      <c r="I890" s="3">
        <v>23962</v>
      </c>
      <c r="J890" s="2">
        <v>0.2</v>
      </c>
      <c r="K890" s="3">
        <v>76678.399999999994</v>
      </c>
      <c r="L890" s="3">
        <v>60940.68</v>
      </c>
      <c r="M890" s="3">
        <v>15737.72</v>
      </c>
    </row>
    <row r="891" spans="1:13" x14ac:dyDescent="0.3">
      <c r="A891" t="s">
        <v>244</v>
      </c>
      <c r="B891" s="4">
        <v>45670</v>
      </c>
      <c r="C891" t="s">
        <v>243</v>
      </c>
      <c r="D891" t="s">
        <v>3</v>
      </c>
      <c r="E891" t="s">
        <v>2</v>
      </c>
      <c r="F891" t="s">
        <v>1</v>
      </c>
      <c r="G891" t="s">
        <v>6</v>
      </c>
      <c r="H891">
        <v>5</v>
      </c>
      <c r="I891" s="3">
        <v>58727</v>
      </c>
      <c r="J891" s="2">
        <v>0</v>
      </c>
      <c r="K891" s="3">
        <v>293635</v>
      </c>
      <c r="L891" s="3">
        <v>178745.59</v>
      </c>
      <c r="M891" s="3">
        <v>114889.41</v>
      </c>
    </row>
    <row r="892" spans="1:13" x14ac:dyDescent="0.3">
      <c r="A892" t="s">
        <v>242</v>
      </c>
      <c r="B892" s="4">
        <v>45724</v>
      </c>
      <c r="C892" t="s">
        <v>241</v>
      </c>
      <c r="D892" t="s">
        <v>3</v>
      </c>
      <c r="E892" t="s">
        <v>2</v>
      </c>
      <c r="F892" t="s">
        <v>33</v>
      </c>
      <c r="G892" t="s">
        <v>16</v>
      </c>
      <c r="H892">
        <v>2</v>
      </c>
      <c r="I892" s="3">
        <v>12924</v>
      </c>
      <c r="J892" s="2">
        <v>0.05</v>
      </c>
      <c r="K892" s="3">
        <v>24555.599999999999</v>
      </c>
      <c r="L892" s="3">
        <v>15448.55</v>
      </c>
      <c r="M892" s="3">
        <v>9107.0499999999993</v>
      </c>
    </row>
    <row r="893" spans="1:13" x14ac:dyDescent="0.3">
      <c r="A893" t="s">
        <v>240</v>
      </c>
      <c r="B893" s="4">
        <v>45543</v>
      </c>
      <c r="C893" t="s">
        <v>239</v>
      </c>
      <c r="D893" t="s">
        <v>28</v>
      </c>
      <c r="E893" t="s">
        <v>8</v>
      </c>
      <c r="F893" t="s">
        <v>1</v>
      </c>
      <c r="G893" t="s">
        <v>37</v>
      </c>
      <c r="H893">
        <v>5</v>
      </c>
      <c r="I893" s="3">
        <v>46592</v>
      </c>
      <c r="J893" s="2">
        <v>0.2</v>
      </c>
      <c r="K893" s="3">
        <v>186368</v>
      </c>
      <c r="L893" s="3">
        <v>117216.77</v>
      </c>
      <c r="M893" s="3">
        <v>69151.23</v>
      </c>
    </row>
    <row r="894" spans="1:13" x14ac:dyDescent="0.3">
      <c r="A894" t="s">
        <v>238</v>
      </c>
      <c r="B894" s="4">
        <v>46148</v>
      </c>
      <c r="C894" t="s">
        <v>237</v>
      </c>
      <c r="D894" t="s">
        <v>9</v>
      </c>
      <c r="E894" t="s">
        <v>8</v>
      </c>
      <c r="F894" t="s">
        <v>13</v>
      </c>
      <c r="G894" t="s">
        <v>12</v>
      </c>
      <c r="H894">
        <v>8</v>
      </c>
      <c r="I894" s="3">
        <v>15941</v>
      </c>
      <c r="J894" s="2">
        <v>0.1</v>
      </c>
      <c r="K894" s="3">
        <v>114775.2</v>
      </c>
      <c r="L894" s="3">
        <v>69047.16</v>
      </c>
      <c r="M894" s="3">
        <v>45728.04</v>
      </c>
    </row>
    <row r="895" spans="1:13" x14ac:dyDescent="0.3">
      <c r="A895" t="s">
        <v>236</v>
      </c>
      <c r="B895" s="4">
        <v>45440</v>
      </c>
      <c r="C895" t="s">
        <v>235</v>
      </c>
      <c r="D895" t="s">
        <v>17</v>
      </c>
      <c r="E895" t="s">
        <v>2</v>
      </c>
      <c r="F895" t="s">
        <v>13</v>
      </c>
      <c r="G895" t="s">
        <v>0</v>
      </c>
      <c r="H895">
        <v>6</v>
      </c>
      <c r="I895" s="3">
        <v>44971</v>
      </c>
      <c r="J895" s="2">
        <v>0.2</v>
      </c>
      <c r="K895" s="3">
        <v>215860.8</v>
      </c>
      <c r="L895" s="3">
        <v>154380.84</v>
      </c>
      <c r="M895" s="3">
        <v>61479.96</v>
      </c>
    </row>
    <row r="896" spans="1:13" x14ac:dyDescent="0.3">
      <c r="A896" t="s">
        <v>234</v>
      </c>
      <c r="B896" s="4">
        <v>45685</v>
      </c>
      <c r="C896" t="s">
        <v>233</v>
      </c>
      <c r="D896" t="s">
        <v>25</v>
      </c>
      <c r="E896" t="s">
        <v>24</v>
      </c>
      <c r="F896" t="s">
        <v>13</v>
      </c>
      <c r="G896" t="s">
        <v>6</v>
      </c>
      <c r="H896">
        <v>10</v>
      </c>
      <c r="I896" s="3">
        <v>49415</v>
      </c>
      <c r="J896" s="2">
        <v>0</v>
      </c>
      <c r="K896" s="3">
        <v>494150</v>
      </c>
      <c r="L896" s="3">
        <v>310382.03000000003</v>
      </c>
      <c r="M896" s="3">
        <v>183767.97</v>
      </c>
    </row>
    <row r="897" spans="1:13" x14ac:dyDescent="0.3">
      <c r="A897" t="s">
        <v>232</v>
      </c>
      <c r="B897" s="4">
        <v>45589</v>
      </c>
      <c r="C897" t="s">
        <v>231</v>
      </c>
      <c r="D897" t="s">
        <v>25</v>
      </c>
      <c r="E897" t="s">
        <v>24</v>
      </c>
      <c r="F897" t="s">
        <v>23</v>
      </c>
      <c r="G897" t="s">
        <v>0</v>
      </c>
      <c r="H897">
        <v>6</v>
      </c>
      <c r="I897" s="3">
        <v>15933</v>
      </c>
      <c r="J897" s="2">
        <v>0.1</v>
      </c>
      <c r="K897" s="3">
        <v>86038.2</v>
      </c>
      <c r="L897" s="3">
        <v>47879.31</v>
      </c>
      <c r="M897" s="3">
        <v>38158.89</v>
      </c>
    </row>
    <row r="898" spans="1:13" x14ac:dyDescent="0.3">
      <c r="A898" t="s">
        <v>230</v>
      </c>
      <c r="B898" s="4">
        <v>45787</v>
      </c>
      <c r="C898" t="s">
        <v>229</v>
      </c>
      <c r="D898" t="s">
        <v>17</v>
      </c>
      <c r="E898" t="s">
        <v>2</v>
      </c>
      <c r="F898" t="s">
        <v>33</v>
      </c>
      <c r="G898" t="s">
        <v>0</v>
      </c>
      <c r="H898">
        <v>1</v>
      </c>
      <c r="I898" s="3">
        <v>22231</v>
      </c>
      <c r="J898" s="2">
        <v>0.05</v>
      </c>
      <c r="K898" s="3">
        <v>21119.45</v>
      </c>
      <c r="L898" s="3">
        <v>15473.73</v>
      </c>
      <c r="M898" s="3">
        <v>5645.72</v>
      </c>
    </row>
    <row r="899" spans="1:13" x14ac:dyDescent="0.3">
      <c r="A899" t="s">
        <v>228</v>
      </c>
      <c r="B899" s="4">
        <v>45591</v>
      </c>
      <c r="C899" t="s">
        <v>227</v>
      </c>
      <c r="D899" t="s">
        <v>56</v>
      </c>
      <c r="E899" t="s">
        <v>24</v>
      </c>
      <c r="F899" t="s">
        <v>7</v>
      </c>
      <c r="G899" t="s">
        <v>6</v>
      </c>
      <c r="H899">
        <v>4</v>
      </c>
      <c r="I899" s="3">
        <v>23584</v>
      </c>
      <c r="J899" s="2">
        <v>0.15</v>
      </c>
      <c r="K899" s="3">
        <v>80185.600000000006</v>
      </c>
      <c r="L899" s="3">
        <v>44712.2</v>
      </c>
      <c r="M899" s="3">
        <v>35473.4</v>
      </c>
    </row>
    <row r="900" spans="1:13" x14ac:dyDescent="0.3">
      <c r="A900" t="s">
        <v>226</v>
      </c>
      <c r="B900" s="4">
        <v>45472</v>
      </c>
      <c r="C900" t="s">
        <v>225</v>
      </c>
      <c r="D900" t="s">
        <v>3</v>
      </c>
      <c r="E900" t="s">
        <v>2</v>
      </c>
      <c r="F900" t="s">
        <v>23</v>
      </c>
      <c r="G900" t="s">
        <v>16</v>
      </c>
      <c r="H900">
        <v>7</v>
      </c>
      <c r="I900" s="3">
        <v>29797</v>
      </c>
      <c r="J900" s="2">
        <v>0.1</v>
      </c>
      <c r="K900" s="3">
        <v>187721.1</v>
      </c>
      <c r="L900" s="3">
        <v>138690.45000000001</v>
      </c>
      <c r="M900" s="3">
        <v>49030.65</v>
      </c>
    </row>
    <row r="901" spans="1:13" x14ac:dyDescent="0.3">
      <c r="A901" t="s">
        <v>224</v>
      </c>
      <c r="B901" s="4">
        <v>45820</v>
      </c>
      <c r="C901" t="s">
        <v>223</v>
      </c>
      <c r="D901" t="s">
        <v>28</v>
      </c>
      <c r="E901" t="s">
        <v>8</v>
      </c>
      <c r="F901" t="s">
        <v>1</v>
      </c>
      <c r="G901" t="s">
        <v>6</v>
      </c>
      <c r="H901">
        <v>13</v>
      </c>
      <c r="I901" s="3">
        <v>26890</v>
      </c>
      <c r="J901" s="2">
        <v>0.2</v>
      </c>
      <c r="K901" s="3">
        <v>279656</v>
      </c>
      <c r="L901" s="3">
        <v>156760.35</v>
      </c>
      <c r="M901" s="3">
        <v>122895.65</v>
      </c>
    </row>
    <row r="902" spans="1:13" x14ac:dyDescent="0.3">
      <c r="A902" t="s">
        <v>222</v>
      </c>
      <c r="B902" s="4">
        <v>46055</v>
      </c>
      <c r="C902" t="s">
        <v>221</v>
      </c>
      <c r="D902" t="s">
        <v>17</v>
      </c>
      <c r="E902" t="s">
        <v>2</v>
      </c>
      <c r="F902" t="s">
        <v>1</v>
      </c>
      <c r="G902" t="s">
        <v>6</v>
      </c>
      <c r="H902">
        <v>13</v>
      </c>
      <c r="I902" s="3">
        <v>66767</v>
      </c>
      <c r="J902" s="2">
        <v>0.05</v>
      </c>
      <c r="K902" s="3">
        <v>824572.45</v>
      </c>
      <c r="L902" s="3">
        <v>614923.26</v>
      </c>
      <c r="M902" s="3">
        <v>209649.19</v>
      </c>
    </row>
    <row r="903" spans="1:13" x14ac:dyDescent="0.3">
      <c r="A903" t="s">
        <v>220</v>
      </c>
      <c r="B903" s="4">
        <v>46015</v>
      </c>
      <c r="C903" t="s">
        <v>219</v>
      </c>
      <c r="D903" t="s">
        <v>28</v>
      </c>
      <c r="E903" t="s">
        <v>8</v>
      </c>
      <c r="F903" t="s">
        <v>33</v>
      </c>
      <c r="G903" t="s">
        <v>6</v>
      </c>
      <c r="H903">
        <v>5</v>
      </c>
      <c r="I903" s="3">
        <v>73174</v>
      </c>
      <c r="J903" s="2">
        <v>0.2</v>
      </c>
      <c r="K903" s="3">
        <v>292696</v>
      </c>
      <c r="L903" s="3">
        <v>160076.65</v>
      </c>
      <c r="M903" s="3">
        <v>132619.35</v>
      </c>
    </row>
    <row r="904" spans="1:13" x14ac:dyDescent="0.3">
      <c r="A904" t="s">
        <v>218</v>
      </c>
      <c r="B904" s="4">
        <v>45547</v>
      </c>
      <c r="C904" t="s">
        <v>217</v>
      </c>
      <c r="D904" t="s">
        <v>42</v>
      </c>
      <c r="E904" t="s">
        <v>8</v>
      </c>
      <c r="F904" t="s">
        <v>1</v>
      </c>
      <c r="G904" t="s">
        <v>20</v>
      </c>
      <c r="H904">
        <v>3</v>
      </c>
      <c r="I904" s="3">
        <v>36878</v>
      </c>
      <c r="J904" s="2">
        <v>0.1</v>
      </c>
      <c r="K904" s="3">
        <v>99570.6</v>
      </c>
      <c r="L904" s="3">
        <v>60275.48</v>
      </c>
      <c r="M904" s="3">
        <v>39295.120000000003</v>
      </c>
    </row>
    <row r="905" spans="1:13" x14ac:dyDescent="0.3">
      <c r="A905" t="s">
        <v>216</v>
      </c>
      <c r="B905" s="4">
        <v>45795</v>
      </c>
      <c r="C905" t="s">
        <v>215</v>
      </c>
      <c r="D905" t="s">
        <v>9</v>
      </c>
      <c r="E905" t="s">
        <v>8</v>
      </c>
      <c r="F905" t="s">
        <v>7</v>
      </c>
      <c r="G905" t="s">
        <v>20</v>
      </c>
      <c r="H905">
        <v>14</v>
      </c>
      <c r="I905" s="3">
        <v>30122</v>
      </c>
      <c r="J905" s="2">
        <v>0.15</v>
      </c>
      <c r="K905" s="3">
        <v>358451.8</v>
      </c>
      <c r="L905" s="3">
        <v>272439.24</v>
      </c>
      <c r="M905" s="3">
        <v>86012.56</v>
      </c>
    </row>
    <row r="906" spans="1:13" x14ac:dyDescent="0.3">
      <c r="A906" t="s">
        <v>214</v>
      </c>
      <c r="B906" s="4">
        <v>45756</v>
      </c>
      <c r="C906" t="s">
        <v>213</v>
      </c>
      <c r="D906" t="s">
        <v>17</v>
      </c>
      <c r="E906" t="s">
        <v>2</v>
      </c>
      <c r="F906" t="s">
        <v>23</v>
      </c>
      <c r="G906" t="s">
        <v>6</v>
      </c>
      <c r="H906">
        <v>8</v>
      </c>
      <c r="I906" s="3">
        <v>59782</v>
      </c>
      <c r="J906" s="2">
        <v>0.2</v>
      </c>
      <c r="K906" s="3">
        <v>382604.79999999999</v>
      </c>
      <c r="L906" s="3">
        <v>321169.33</v>
      </c>
      <c r="M906" s="3">
        <v>61435.47</v>
      </c>
    </row>
    <row r="907" spans="1:13" x14ac:dyDescent="0.3">
      <c r="A907" t="s">
        <v>212</v>
      </c>
      <c r="B907" s="4">
        <v>45777</v>
      </c>
      <c r="C907" t="s">
        <v>211</v>
      </c>
      <c r="D907" t="s">
        <v>3</v>
      </c>
      <c r="E907" t="s">
        <v>2</v>
      </c>
      <c r="F907" t="s">
        <v>13</v>
      </c>
      <c r="G907" t="s">
        <v>6</v>
      </c>
      <c r="H907">
        <v>10</v>
      </c>
      <c r="I907" s="3">
        <v>5350</v>
      </c>
      <c r="J907" s="2">
        <v>0.2</v>
      </c>
      <c r="K907" s="3">
        <v>42800</v>
      </c>
      <c r="L907" s="3">
        <v>35389.980000000003</v>
      </c>
      <c r="M907" s="3">
        <v>7410.02</v>
      </c>
    </row>
    <row r="908" spans="1:13" x14ac:dyDescent="0.3">
      <c r="A908" t="s">
        <v>210</v>
      </c>
      <c r="B908" s="4">
        <v>45974</v>
      </c>
      <c r="C908" t="s">
        <v>209</v>
      </c>
      <c r="D908" t="s">
        <v>17</v>
      </c>
      <c r="E908" t="s">
        <v>2</v>
      </c>
      <c r="F908" t="s">
        <v>13</v>
      </c>
      <c r="G908" t="s">
        <v>37</v>
      </c>
      <c r="H908">
        <v>13</v>
      </c>
      <c r="I908" s="3">
        <v>10202</v>
      </c>
      <c r="J908" s="2">
        <v>0.05</v>
      </c>
      <c r="K908" s="3">
        <v>125994.7</v>
      </c>
      <c r="L908" s="3">
        <v>102937.55</v>
      </c>
      <c r="M908" s="3">
        <v>23057.15</v>
      </c>
    </row>
    <row r="909" spans="1:13" x14ac:dyDescent="0.3">
      <c r="A909" t="s">
        <v>208</v>
      </c>
      <c r="B909" s="4">
        <v>46022</v>
      </c>
      <c r="C909" t="s">
        <v>207</v>
      </c>
      <c r="D909" t="s">
        <v>53</v>
      </c>
      <c r="E909" t="s">
        <v>2</v>
      </c>
      <c r="F909" t="s">
        <v>33</v>
      </c>
      <c r="G909" t="s">
        <v>20</v>
      </c>
      <c r="H909">
        <v>15</v>
      </c>
      <c r="I909" s="3">
        <v>31116</v>
      </c>
      <c r="J909" s="2">
        <v>0.15</v>
      </c>
      <c r="K909" s="3">
        <v>396729</v>
      </c>
      <c r="L909" s="3">
        <v>210435.09</v>
      </c>
      <c r="M909" s="3">
        <v>186293.91</v>
      </c>
    </row>
    <row r="910" spans="1:13" x14ac:dyDescent="0.3">
      <c r="A910" t="s">
        <v>206</v>
      </c>
      <c r="B910" s="4">
        <v>45869</v>
      </c>
      <c r="C910" t="s">
        <v>205</v>
      </c>
      <c r="D910" t="s">
        <v>3</v>
      </c>
      <c r="E910" t="s">
        <v>2</v>
      </c>
      <c r="F910" t="s">
        <v>1</v>
      </c>
      <c r="G910" t="s">
        <v>0</v>
      </c>
      <c r="H910">
        <v>4</v>
      </c>
      <c r="I910" s="3">
        <v>42160</v>
      </c>
      <c r="J910" s="2">
        <v>0.1</v>
      </c>
      <c r="K910" s="3">
        <v>151776</v>
      </c>
      <c r="L910" s="3">
        <v>107935.05</v>
      </c>
      <c r="M910" s="3">
        <v>43840.95</v>
      </c>
    </row>
    <row r="911" spans="1:13" x14ac:dyDescent="0.3">
      <c r="A911" t="s">
        <v>204</v>
      </c>
      <c r="B911" s="4">
        <v>45860</v>
      </c>
      <c r="C911" t="s">
        <v>203</v>
      </c>
      <c r="D911" t="s">
        <v>25</v>
      </c>
      <c r="E911" t="s">
        <v>24</v>
      </c>
      <c r="F911" t="s">
        <v>23</v>
      </c>
      <c r="G911" t="s">
        <v>37</v>
      </c>
      <c r="H911">
        <v>15</v>
      </c>
      <c r="I911" s="3">
        <v>10456</v>
      </c>
      <c r="J911" s="2">
        <v>0</v>
      </c>
      <c r="K911" s="3">
        <v>156840</v>
      </c>
      <c r="L911" s="3">
        <v>112682.11</v>
      </c>
      <c r="M911" s="3">
        <v>44157.89</v>
      </c>
    </row>
    <row r="912" spans="1:13" x14ac:dyDescent="0.3">
      <c r="A912" t="s">
        <v>202</v>
      </c>
      <c r="B912" s="4">
        <v>45613</v>
      </c>
      <c r="C912" t="s">
        <v>201</v>
      </c>
      <c r="D912" t="s">
        <v>53</v>
      </c>
      <c r="E912" t="s">
        <v>2</v>
      </c>
      <c r="F912" t="s">
        <v>23</v>
      </c>
      <c r="G912" t="s">
        <v>12</v>
      </c>
      <c r="H912">
        <v>5</v>
      </c>
      <c r="I912" s="3">
        <v>37535</v>
      </c>
      <c r="J912" s="2">
        <v>0.1</v>
      </c>
      <c r="K912" s="3">
        <v>168907.5</v>
      </c>
      <c r="L912" s="3">
        <v>138848.26</v>
      </c>
      <c r="M912" s="3">
        <v>30059.24</v>
      </c>
    </row>
    <row r="913" spans="1:13" x14ac:dyDescent="0.3">
      <c r="A913" t="s">
        <v>200</v>
      </c>
      <c r="B913" s="4">
        <v>45931</v>
      </c>
      <c r="C913" t="s">
        <v>199</v>
      </c>
      <c r="D913" t="s">
        <v>34</v>
      </c>
      <c r="E913" t="s">
        <v>24</v>
      </c>
      <c r="F913" t="s">
        <v>23</v>
      </c>
      <c r="G913" t="s">
        <v>6</v>
      </c>
      <c r="H913">
        <v>13</v>
      </c>
      <c r="I913" s="3">
        <v>37822</v>
      </c>
      <c r="J913" s="2">
        <v>0.2</v>
      </c>
      <c r="K913" s="3">
        <v>393348.8</v>
      </c>
      <c r="L913" s="3">
        <v>324227.18</v>
      </c>
      <c r="M913" s="3">
        <v>69121.62</v>
      </c>
    </row>
    <row r="914" spans="1:13" x14ac:dyDescent="0.3">
      <c r="A914" t="s">
        <v>198</v>
      </c>
      <c r="B914" s="4">
        <v>45587</v>
      </c>
      <c r="C914" t="s">
        <v>197</v>
      </c>
      <c r="D914" t="s">
        <v>25</v>
      </c>
      <c r="E914" t="s">
        <v>24</v>
      </c>
      <c r="F914" t="s">
        <v>13</v>
      </c>
      <c r="G914" t="s">
        <v>12</v>
      </c>
      <c r="H914">
        <v>5</v>
      </c>
      <c r="I914" s="3">
        <v>12991</v>
      </c>
      <c r="J914" s="2">
        <v>0.2</v>
      </c>
      <c r="K914" s="3">
        <v>51964</v>
      </c>
      <c r="L914" s="3">
        <v>34784.97</v>
      </c>
      <c r="M914" s="3">
        <v>17179.03</v>
      </c>
    </row>
    <row r="915" spans="1:13" x14ac:dyDescent="0.3">
      <c r="A915" t="s">
        <v>196</v>
      </c>
      <c r="B915" s="4">
        <v>45961</v>
      </c>
      <c r="C915" t="s">
        <v>195</v>
      </c>
      <c r="D915" t="s">
        <v>34</v>
      </c>
      <c r="E915" t="s">
        <v>24</v>
      </c>
      <c r="F915" t="s">
        <v>33</v>
      </c>
      <c r="G915" t="s">
        <v>12</v>
      </c>
      <c r="H915">
        <v>9</v>
      </c>
      <c r="I915" s="3">
        <v>61817</v>
      </c>
      <c r="J915" s="2">
        <v>0.15</v>
      </c>
      <c r="K915" s="3">
        <v>472900.05</v>
      </c>
      <c r="L915" s="3">
        <v>366555.83</v>
      </c>
      <c r="M915" s="3">
        <v>106344.22</v>
      </c>
    </row>
    <row r="916" spans="1:13" x14ac:dyDescent="0.3">
      <c r="A916" t="s">
        <v>194</v>
      </c>
      <c r="B916" s="4">
        <v>45944</v>
      </c>
      <c r="C916" t="s">
        <v>193</v>
      </c>
      <c r="D916" t="s">
        <v>17</v>
      </c>
      <c r="E916" t="s">
        <v>2</v>
      </c>
      <c r="F916" t="s">
        <v>7</v>
      </c>
      <c r="G916" t="s">
        <v>16</v>
      </c>
      <c r="H916">
        <v>5</v>
      </c>
      <c r="I916" s="3">
        <v>67910</v>
      </c>
      <c r="J916" s="2">
        <v>0.05</v>
      </c>
      <c r="K916" s="3">
        <v>322572.5</v>
      </c>
      <c r="L916" s="3">
        <v>176325.12</v>
      </c>
      <c r="M916" s="3">
        <v>146247.38</v>
      </c>
    </row>
    <row r="917" spans="1:13" x14ac:dyDescent="0.3">
      <c r="A917" t="s">
        <v>192</v>
      </c>
      <c r="B917" s="4">
        <v>45842</v>
      </c>
      <c r="C917" t="s">
        <v>191</v>
      </c>
      <c r="D917" t="s">
        <v>3</v>
      </c>
      <c r="E917" t="s">
        <v>2</v>
      </c>
      <c r="F917" t="s">
        <v>7</v>
      </c>
      <c r="G917" t="s">
        <v>16</v>
      </c>
      <c r="H917">
        <v>2</v>
      </c>
      <c r="I917" s="3">
        <v>29478</v>
      </c>
      <c r="J917" s="2">
        <v>0.15</v>
      </c>
      <c r="K917" s="3">
        <v>50112.6</v>
      </c>
      <c r="L917" s="3">
        <v>41789.839999999997</v>
      </c>
      <c r="M917" s="3">
        <v>8322.76</v>
      </c>
    </row>
    <row r="918" spans="1:13" x14ac:dyDescent="0.3">
      <c r="A918" t="s">
        <v>190</v>
      </c>
      <c r="B918" s="4">
        <v>46040</v>
      </c>
      <c r="C918" t="s">
        <v>189</v>
      </c>
      <c r="D918" t="s">
        <v>28</v>
      </c>
      <c r="E918" t="s">
        <v>8</v>
      </c>
      <c r="F918" t="s">
        <v>7</v>
      </c>
      <c r="G918" t="s">
        <v>16</v>
      </c>
      <c r="H918">
        <v>9</v>
      </c>
      <c r="I918" s="3">
        <v>64532</v>
      </c>
      <c r="J918" s="2">
        <v>0</v>
      </c>
      <c r="K918" s="3">
        <v>580788</v>
      </c>
      <c r="L918" s="3">
        <v>417276.57</v>
      </c>
      <c r="M918" s="3">
        <v>163511.43</v>
      </c>
    </row>
    <row r="919" spans="1:13" x14ac:dyDescent="0.3">
      <c r="A919" t="s">
        <v>188</v>
      </c>
      <c r="B919" s="4">
        <v>46105</v>
      </c>
      <c r="C919" t="s">
        <v>187</v>
      </c>
      <c r="D919" t="s">
        <v>3</v>
      </c>
      <c r="E919" t="s">
        <v>2</v>
      </c>
      <c r="F919" t="s">
        <v>1</v>
      </c>
      <c r="G919" t="s">
        <v>16</v>
      </c>
      <c r="H919">
        <v>6</v>
      </c>
      <c r="I919" s="3">
        <v>66043</v>
      </c>
      <c r="J919" s="2">
        <v>0.15</v>
      </c>
      <c r="K919" s="3">
        <v>336819.3</v>
      </c>
      <c r="L919" s="3">
        <v>186836.05</v>
      </c>
      <c r="M919" s="3">
        <v>149983.25</v>
      </c>
    </row>
    <row r="920" spans="1:13" x14ac:dyDescent="0.3">
      <c r="A920" t="s">
        <v>186</v>
      </c>
      <c r="B920" s="4">
        <v>45590</v>
      </c>
      <c r="C920" t="s">
        <v>185</v>
      </c>
      <c r="D920" t="s">
        <v>17</v>
      </c>
      <c r="E920" t="s">
        <v>2</v>
      </c>
      <c r="F920" t="s">
        <v>1</v>
      </c>
      <c r="G920" t="s">
        <v>0</v>
      </c>
      <c r="H920">
        <v>9</v>
      </c>
      <c r="I920" s="3">
        <v>28474</v>
      </c>
      <c r="J920" s="2">
        <v>0.05</v>
      </c>
      <c r="K920" s="3">
        <v>243452.7</v>
      </c>
      <c r="L920" s="3">
        <v>177425.95</v>
      </c>
      <c r="M920" s="3">
        <v>66026.75</v>
      </c>
    </row>
    <row r="921" spans="1:13" x14ac:dyDescent="0.3">
      <c r="A921" t="s">
        <v>184</v>
      </c>
      <c r="B921" s="4">
        <v>46090</v>
      </c>
      <c r="C921" t="s">
        <v>183</v>
      </c>
      <c r="D921" t="s">
        <v>42</v>
      </c>
      <c r="E921" t="s">
        <v>8</v>
      </c>
      <c r="F921" t="s">
        <v>33</v>
      </c>
      <c r="G921" t="s">
        <v>0</v>
      </c>
      <c r="H921">
        <v>5</v>
      </c>
      <c r="I921" s="3">
        <v>37171</v>
      </c>
      <c r="J921" s="2">
        <v>0.1</v>
      </c>
      <c r="K921" s="3">
        <v>167269.5</v>
      </c>
      <c r="L921" s="3">
        <v>120846.12</v>
      </c>
      <c r="M921" s="3">
        <v>46423.38</v>
      </c>
    </row>
    <row r="922" spans="1:13" x14ac:dyDescent="0.3">
      <c r="A922" t="s">
        <v>182</v>
      </c>
      <c r="B922" s="4">
        <v>45884</v>
      </c>
      <c r="C922" t="s">
        <v>181</v>
      </c>
      <c r="D922" t="s">
        <v>34</v>
      </c>
      <c r="E922" t="s">
        <v>24</v>
      </c>
      <c r="F922" t="s">
        <v>23</v>
      </c>
      <c r="G922" t="s">
        <v>0</v>
      </c>
      <c r="H922">
        <v>10</v>
      </c>
      <c r="I922" s="3">
        <v>29540</v>
      </c>
      <c r="J922" s="2">
        <v>0.1</v>
      </c>
      <c r="K922" s="3">
        <v>265860</v>
      </c>
      <c r="L922" s="3">
        <v>173628.06</v>
      </c>
      <c r="M922" s="3">
        <v>92231.94</v>
      </c>
    </row>
    <row r="923" spans="1:13" x14ac:dyDescent="0.3">
      <c r="A923" t="s">
        <v>180</v>
      </c>
      <c r="B923" s="4">
        <v>45552</v>
      </c>
      <c r="C923" t="s">
        <v>179</v>
      </c>
      <c r="D923" t="s">
        <v>25</v>
      </c>
      <c r="E923" t="s">
        <v>24</v>
      </c>
      <c r="F923" t="s">
        <v>1</v>
      </c>
      <c r="G923" t="s">
        <v>6</v>
      </c>
      <c r="H923">
        <v>9</v>
      </c>
      <c r="I923" s="3">
        <v>73420</v>
      </c>
      <c r="J923" s="2">
        <v>0.2</v>
      </c>
      <c r="K923" s="3">
        <v>528624</v>
      </c>
      <c r="L923" s="3">
        <v>368534.75</v>
      </c>
      <c r="M923" s="3">
        <v>160089.25</v>
      </c>
    </row>
    <row r="924" spans="1:13" x14ac:dyDescent="0.3">
      <c r="A924" t="s">
        <v>178</v>
      </c>
      <c r="B924" s="4">
        <v>45783</v>
      </c>
      <c r="C924" t="s">
        <v>177</v>
      </c>
      <c r="D924" t="s">
        <v>17</v>
      </c>
      <c r="E924" t="s">
        <v>2</v>
      </c>
      <c r="F924" t="s">
        <v>33</v>
      </c>
      <c r="G924" t="s">
        <v>6</v>
      </c>
      <c r="H924">
        <v>11</v>
      </c>
      <c r="I924" s="3">
        <v>13535</v>
      </c>
      <c r="J924" s="2">
        <v>0.15</v>
      </c>
      <c r="K924" s="3">
        <v>126552.25</v>
      </c>
      <c r="L924" s="3">
        <v>99383.1</v>
      </c>
      <c r="M924" s="3">
        <v>27169.15</v>
      </c>
    </row>
    <row r="925" spans="1:13" x14ac:dyDescent="0.3">
      <c r="A925" t="s">
        <v>176</v>
      </c>
      <c r="B925" s="4">
        <v>46080</v>
      </c>
      <c r="C925" t="s">
        <v>175</v>
      </c>
      <c r="D925" t="s">
        <v>28</v>
      </c>
      <c r="E925" t="s">
        <v>8</v>
      </c>
      <c r="F925" t="s">
        <v>13</v>
      </c>
      <c r="G925" t="s">
        <v>12</v>
      </c>
      <c r="H925">
        <v>4</v>
      </c>
      <c r="I925" s="3">
        <v>14201</v>
      </c>
      <c r="J925" s="2">
        <v>0.05</v>
      </c>
      <c r="K925" s="3">
        <v>53963.8</v>
      </c>
      <c r="L925" s="3">
        <v>34762.43</v>
      </c>
      <c r="M925" s="3">
        <v>19201.37</v>
      </c>
    </row>
    <row r="926" spans="1:13" x14ac:dyDescent="0.3">
      <c r="A926" t="s">
        <v>174</v>
      </c>
      <c r="B926" s="4">
        <v>45508</v>
      </c>
      <c r="C926" t="s">
        <v>173</v>
      </c>
      <c r="D926" t="s">
        <v>25</v>
      </c>
      <c r="E926" t="s">
        <v>24</v>
      </c>
      <c r="F926" t="s">
        <v>23</v>
      </c>
      <c r="G926" t="s">
        <v>12</v>
      </c>
      <c r="H926">
        <v>11</v>
      </c>
      <c r="I926" s="3">
        <v>57886</v>
      </c>
      <c r="J926" s="2">
        <v>0.15</v>
      </c>
      <c r="K926" s="3">
        <v>541234.1</v>
      </c>
      <c r="L926" s="3">
        <v>323200.15999999997</v>
      </c>
      <c r="M926" s="3">
        <v>218033.94</v>
      </c>
    </row>
    <row r="927" spans="1:13" x14ac:dyDescent="0.3">
      <c r="A927" t="s">
        <v>172</v>
      </c>
      <c r="B927" s="4">
        <v>45739</v>
      </c>
      <c r="C927" t="s">
        <v>171</v>
      </c>
      <c r="D927" t="s">
        <v>9</v>
      </c>
      <c r="E927" t="s">
        <v>8</v>
      </c>
      <c r="F927" t="s">
        <v>13</v>
      </c>
      <c r="G927" t="s">
        <v>12</v>
      </c>
      <c r="H927">
        <v>14</v>
      </c>
      <c r="I927" s="3">
        <v>25897</v>
      </c>
      <c r="J927" s="2">
        <v>0.05</v>
      </c>
      <c r="K927" s="3">
        <v>344430.1</v>
      </c>
      <c r="L927" s="3">
        <v>229481.94</v>
      </c>
      <c r="M927" s="3">
        <v>114948.16</v>
      </c>
    </row>
    <row r="928" spans="1:13" x14ac:dyDescent="0.3">
      <c r="A928" t="s">
        <v>170</v>
      </c>
      <c r="B928" s="4">
        <v>45509</v>
      </c>
      <c r="C928" t="s">
        <v>169</v>
      </c>
      <c r="D928" t="s">
        <v>34</v>
      </c>
      <c r="E928" t="s">
        <v>24</v>
      </c>
      <c r="F928" t="s">
        <v>1</v>
      </c>
      <c r="G928" t="s">
        <v>16</v>
      </c>
      <c r="H928">
        <v>9</v>
      </c>
      <c r="I928" s="3">
        <v>64719</v>
      </c>
      <c r="J928" s="2">
        <v>0</v>
      </c>
      <c r="K928" s="3">
        <v>582471</v>
      </c>
      <c r="L928" s="3">
        <v>294644.52</v>
      </c>
      <c r="M928" s="3">
        <v>287826.48</v>
      </c>
    </row>
    <row r="929" spans="1:13" x14ac:dyDescent="0.3">
      <c r="A929" t="s">
        <v>168</v>
      </c>
      <c r="B929" s="4">
        <v>46084</v>
      </c>
      <c r="C929" t="s">
        <v>167</v>
      </c>
      <c r="D929" t="s">
        <v>53</v>
      </c>
      <c r="E929" t="s">
        <v>2</v>
      </c>
      <c r="F929" t="s">
        <v>7</v>
      </c>
      <c r="G929" t="s">
        <v>6</v>
      </c>
      <c r="H929">
        <v>10</v>
      </c>
      <c r="I929" s="3">
        <v>14358</v>
      </c>
      <c r="J929" s="2">
        <v>0.2</v>
      </c>
      <c r="K929" s="3">
        <v>114864</v>
      </c>
      <c r="L929" s="3">
        <v>74933.87</v>
      </c>
      <c r="M929" s="3">
        <v>39930.129999999997</v>
      </c>
    </row>
    <row r="930" spans="1:13" x14ac:dyDescent="0.3">
      <c r="A930" t="s">
        <v>166</v>
      </c>
      <c r="B930" s="4">
        <v>45561</v>
      </c>
      <c r="C930" t="s">
        <v>165</v>
      </c>
      <c r="D930" t="s">
        <v>9</v>
      </c>
      <c r="E930" t="s">
        <v>8</v>
      </c>
      <c r="F930" t="s">
        <v>33</v>
      </c>
      <c r="G930" t="s">
        <v>37</v>
      </c>
      <c r="H930">
        <v>4</v>
      </c>
      <c r="I930" s="3">
        <v>23538</v>
      </c>
      <c r="J930" s="2">
        <v>0.1</v>
      </c>
      <c r="K930" s="3">
        <v>84736.8</v>
      </c>
      <c r="L930" s="3">
        <v>53390.71</v>
      </c>
      <c r="M930" s="3">
        <v>31346.09</v>
      </c>
    </row>
    <row r="931" spans="1:13" x14ac:dyDescent="0.3">
      <c r="A931" t="s">
        <v>164</v>
      </c>
      <c r="B931" s="4">
        <v>45437</v>
      </c>
      <c r="C931" t="s">
        <v>163</v>
      </c>
      <c r="D931" t="s">
        <v>42</v>
      </c>
      <c r="E931" t="s">
        <v>8</v>
      </c>
      <c r="F931" t="s">
        <v>23</v>
      </c>
      <c r="G931" t="s">
        <v>37</v>
      </c>
      <c r="H931">
        <v>12</v>
      </c>
      <c r="I931" s="3">
        <v>41240</v>
      </c>
      <c r="J931" s="2">
        <v>0.05</v>
      </c>
      <c r="K931" s="3">
        <v>470136</v>
      </c>
      <c r="L931" s="3">
        <v>276611.06</v>
      </c>
      <c r="M931" s="3">
        <v>193524.94</v>
      </c>
    </row>
    <row r="932" spans="1:13" x14ac:dyDescent="0.3">
      <c r="A932" t="s">
        <v>162</v>
      </c>
      <c r="B932" s="4">
        <v>45549</v>
      </c>
      <c r="C932" t="s">
        <v>161</v>
      </c>
      <c r="D932" t="s">
        <v>42</v>
      </c>
      <c r="E932" t="s">
        <v>8</v>
      </c>
      <c r="F932" t="s">
        <v>7</v>
      </c>
      <c r="G932" t="s">
        <v>37</v>
      </c>
      <c r="H932">
        <v>4</v>
      </c>
      <c r="I932" s="3">
        <v>33559</v>
      </c>
      <c r="J932" s="2">
        <v>0.05</v>
      </c>
      <c r="K932" s="3">
        <v>127524.2</v>
      </c>
      <c r="L932" s="3">
        <v>67514.179999999993</v>
      </c>
      <c r="M932" s="3">
        <v>60010.02</v>
      </c>
    </row>
    <row r="933" spans="1:13" x14ac:dyDescent="0.3">
      <c r="A933" t="s">
        <v>160</v>
      </c>
      <c r="B933" s="4">
        <v>45552</v>
      </c>
      <c r="C933" t="s">
        <v>159</v>
      </c>
      <c r="D933" t="s">
        <v>56</v>
      </c>
      <c r="E933" t="s">
        <v>24</v>
      </c>
      <c r="F933" t="s">
        <v>33</v>
      </c>
      <c r="G933" t="s">
        <v>12</v>
      </c>
      <c r="H933">
        <v>3</v>
      </c>
      <c r="I933" s="3">
        <v>33816</v>
      </c>
      <c r="J933" s="2">
        <v>0</v>
      </c>
      <c r="K933" s="3">
        <v>101448</v>
      </c>
      <c r="L933" s="3">
        <v>61380.39</v>
      </c>
      <c r="M933" s="3">
        <v>40067.61</v>
      </c>
    </row>
    <row r="934" spans="1:13" x14ac:dyDescent="0.3">
      <c r="A934" t="s">
        <v>158</v>
      </c>
      <c r="B934" s="4">
        <v>45561</v>
      </c>
      <c r="C934" t="s">
        <v>157</v>
      </c>
      <c r="D934" t="s">
        <v>25</v>
      </c>
      <c r="E934" t="s">
        <v>24</v>
      </c>
      <c r="F934" t="s">
        <v>23</v>
      </c>
      <c r="G934" t="s">
        <v>37</v>
      </c>
      <c r="H934">
        <v>13</v>
      </c>
      <c r="I934" s="3">
        <v>55206</v>
      </c>
      <c r="J934" s="2">
        <v>0</v>
      </c>
      <c r="K934" s="3">
        <v>717678</v>
      </c>
      <c r="L934" s="3">
        <v>548323.77</v>
      </c>
      <c r="M934" s="3">
        <v>169354.23</v>
      </c>
    </row>
    <row r="935" spans="1:13" x14ac:dyDescent="0.3">
      <c r="A935" t="s">
        <v>156</v>
      </c>
      <c r="B935" s="4">
        <v>45587</v>
      </c>
      <c r="C935" t="s">
        <v>155</v>
      </c>
      <c r="D935" t="s">
        <v>34</v>
      </c>
      <c r="E935" t="s">
        <v>24</v>
      </c>
      <c r="F935" t="s">
        <v>1</v>
      </c>
      <c r="G935" t="s">
        <v>12</v>
      </c>
      <c r="H935">
        <v>2</v>
      </c>
      <c r="I935" s="3">
        <v>60276</v>
      </c>
      <c r="J935" s="2">
        <v>0.15</v>
      </c>
      <c r="K935" s="3">
        <v>102469.2</v>
      </c>
      <c r="L935" s="3">
        <v>79220.58</v>
      </c>
      <c r="M935" s="3">
        <v>23248.62</v>
      </c>
    </row>
    <row r="936" spans="1:13" x14ac:dyDescent="0.3">
      <c r="A936" t="s">
        <v>154</v>
      </c>
      <c r="B936" s="4">
        <v>46139</v>
      </c>
      <c r="C936" t="s">
        <v>153</v>
      </c>
      <c r="D936" t="s">
        <v>25</v>
      </c>
      <c r="E936" t="s">
        <v>24</v>
      </c>
      <c r="F936" t="s">
        <v>13</v>
      </c>
      <c r="G936" t="s">
        <v>16</v>
      </c>
      <c r="H936">
        <v>6</v>
      </c>
      <c r="I936" s="3">
        <v>51884</v>
      </c>
      <c r="J936" s="2">
        <v>0.15</v>
      </c>
      <c r="K936" s="3">
        <v>264608.40000000002</v>
      </c>
      <c r="L936" s="3">
        <v>192630.17</v>
      </c>
      <c r="M936" s="3">
        <v>71978.23</v>
      </c>
    </row>
    <row r="937" spans="1:13" x14ac:dyDescent="0.3">
      <c r="A937" t="s">
        <v>152</v>
      </c>
      <c r="B937" s="4">
        <v>46125</v>
      </c>
      <c r="C937" t="s">
        <v>151</v>
      </c>
      <c r="D937" t="s">
        <v>17</v>
      </c>
      <c r="E937" t="s">
        <v>2</v>
      </c>
      <c r="F937" t="s">
        <v>13</v>
      </c>
      <c r="G937" t="s">
        <v>6</v>
      </c>
      <c r="H937">
        <v>7</v>
      </c>
      <c r="I937" s="3">
        <v>10527</v>
      </c>
      <c r="J937" s="2">
        <v>0.2</v>
      </c>
      <c r="K937" s="3">
        <v>58951.199999999997</v>
      </c>
      <c r="L937" s="3">
        <v>49033.49</v>
      </c>
      <c r="M937" s="3">
        <v>9917.7099999999991</v>
      </c>
    </row>
    <row r="938" spans="1:13" x14ac:dyDescent="0.3">
      <c r="A938" t="s">
        <v>150</v>
      </c>
      <c r="B938" s="4">
        <v>46048</v>
      </c>
      <c r="C938" t="s">
        <v>149</v>
      </c>
      <c r="D938" t="s">
        <v>34</v>
      </c>
      <c r="E938" t="s">
        <v>24</v>
      </c>
      <c r="F938" t="s">
        <v>33</v>
      </c>
      <c r="G938" t="s">
        <v>16</v>
      </c>
      <c r="H938">
        <v>7</v>
      </c>
      <c r="I938" s="3">
        <v>70580</v>
      </c>
      <c r="J938" s="2">
        <v>0.15</v>
      </c>
      <c r="K938" s="3">
        <v>419951</v>
      </c>
      <c r="L938" s="3">
        <v>250323.71</v>
      </c>
      <c r="M938" s="3">
        <v>169627.29</v>
      </c>
    </row>
    <row r="939" spans="1:13" x14ac:dyDescent="0.3">
      <c r="A939" t="s">
        <v>148</v>
      </c>
      <c r="B939" s="4">
        <v>45612</v>
      </c>
      <c r="C939" t="s">
        <v>147</v>
      </c>
      <c r="D939" t="s">
        <v>53</v>
      </c>
      <c r="E939" t="s">
        <v>2</v>
      </c>
      <c r="F939" t="s">
        <v>13</v>
      </c>
      <c r="G939" t="s">
        <v>12</v>
      </c>
      <c r="H939">
        <v>1</v>
      </c>
      <c r="I939" s="3">
        <v>74362</v>
      </c>
      <c r="J939" s="2">
        <v>0.05</v>
      </c>
      <c r="K939" s="3">
        <v>70643.899999999994</v>
      </c>
      <c r="L939" s="3">
        <v>46729.05</v>
      </c>
      <c r="M939" s="3">
        <v>23914.85</v>
      </c>
    </row>
    <row r="940" spans="1:13" x14ac:dyDescent="0.3">
      <c r="A940" t="s">
        <v>146</v>
      </c>
      <c r="B940" s="4">
        <v>45458</v>
      </c>
      <c r="C940" t="s">
        <v>145</v>
      </c>
      <c r="D940" t="s">
        <v>9</v>
      </c>
      <c r="E940" t="s">
        <v>8</v>
      </c>
      <c r="F940" t="s">
        <v>33</v>
      </c>
      <c r="G940" t="s">
        <v>37</v>
      </c>
      <c r="H940">
        <v>14</v>
      </c>
      <c r="I940" s="3">
        <v>16518</v>
      </c>
      <c r="J940" s="2">
        <v>0</v>
      </c>
      <c r="K940" s="3">
        <v>231252</v>
      </c>
      <c r="L940" s="3">
        <v>171068.18</v>
      </c>
      <c r="M940" s="3">
        <v>60183.82</v>
      </c>
    </row>
    <row r="941" spans="1:13" x14ac:dyDescent="0.3">
      <c r="A941" t="s">
        <v>144</v>
      </c>
      <c r="B941" s="4">
        <v>45876</v>
      </c>
      <c r="C941" t="s">
        <v>143</v>
      </c>
      <c r="D941" t="s">
        <v>17</v>
      </c>
      <c r="E941" t="s">
        <v>2</v>
      </c>
      <c r="F941" t="s">
        <v>33</v>
      </c>
      <c r="G941" t="s">
        <v>12</v>
      </c>
      <c r="H941">
        <v>11</v>
      </c>
      <c r="I941" s="3">
        <v>64995</v>
      </c>
      <c r="J941" s="2">
        <v>0.05</v>
      </c>
      <c r="K941" s="3">
        <v>679197.75</v>
      </c>
      <c r="L941" s="3">
        <v>540016.21</v>
      </c>
      <c r="M941" s="3">
        <v>139181.54</v>
      </c>
    </row>
    <row r="942" spans="1:13" x14ac:dyDescent="0.3">
      <c r="A942" t="s">
        <v>142</v>
      </c>
      <c r="B942" s="4">
        <v>45615</v>
      </c>
      <c r="C942" t="s">
        <v>141</v>
      </c>
      <c r="D942" t="s">
        <v>56</v>
      </c>
      <c r="E942" t="s">
        <v>24</v>
      </c>
      <c r="F942" t="s">
        <v>23</v>
      </c>
      <c r="G942" t="s">
        <v>6</v>
      </c>
      <c r="H942">
        <v>12</v>
      </c>
      <c r="I942" s="3">
        <v>27814</v>
      </c>
      <c r="J942" s="2">
        <v>0.05</v>
      </c>
      <c r="K942" s="3">
        <v>317079.59999999998</v>
      </c>
      <c r="L942" s="3">
        <v>229855.71</v>
      </c>
      <c r="M942" s="3">
        <v>87223.89</v>
      </c>
    </row>
    <row r="943" spans="1:13" x14ac:dyDescent="0.3">
      <c r="A943" t="s">
        <v>140</v>
      </c>
      <c r="B943" s="4">
        <v>46070</v>
      </c>
      <c r="C943" t="s">
        <v>139</v>
      </c>
      <c r="D943" t="s">
        <v>25</v>
      </c>
      <c r="E943" t="s">
        <v>24</v>
      </c>
      <c r="F943" t="s">
        <v>1</v>
      </c>
      <c r="G943" t="s">
        <v>0</v>
      </c>
      <c r="H943">
        <v>7</v>
      </c>
      <c r="I943" s="3">
        <v>58884</v>
      </c>
      <c r="J943" s="2">
        <v>0.1</v>
      </c>
      <c r="K943" s="3">
        <v>370969.2</v>
      </c>
      <c r="L943" s="3">
        <v>252982.05</v>
      </c>
      <c r="M943" s="3">
        <v>117987.15</v>
      </c>
    </row>
    <row r="944" spans="1:13" x14ac:dyDescent="0.3">
      <c r="A944" t="s">
        <v>138</v>
      </c>
      <c r="B944" s="4">
        <v>45510</v>
      </c>
      <c r="C944" t="s">
        <v>137</v>
      </c>
      <c r="D944" t="s">
        <v>3</v>
      </c>
      <c r="E944" t="s">
        <v>2</v>
      </c>
      <c r="F944" t="s">
        <v>7</v>
      </c>
      <c r="G944" t="s">
        <v>0</v>
      </c>
      <c r="H944">
        <v>1</v>
      </c>
      <c r="I944" s="3">
        <v>11353</v>
      </c>
      <c r="J944" s="2">
        <v>0.1</v>
      </c>
      <c r="K944" s="3">
        <v>10217.700000000001</v>
      </c>
      <c r="L944" s="3">
        <v>5262.84</v>
      </c>
      <c r="M944" s="3">
        <v>4954.8599999999997</v>
      </c>
    </row>
    <row r="945" spans="1:13" x14ac:dyDescent="0.3">
      <c r="A945" t="s">
        <v>136</v>
      </c>
      <c r="B945" s="4">
        <v>46066</v>
      </c>
      <c r="C945" t="s">
        <v>135</v>
      </c>
      <c r="D945" t="s">
        <v>9</v>
      </c>
      <c r="E945" t="s">
        <v>8</v>
      </c>
      <c r="F945" t="s">
        <v>23</v>
      </c>
      <c r="G945" t="s">
        <v>0</v>
      </c>
      <c r="H945">
        <v>13</v>
      </c>
      <c r="I945" s="3">
        <v>22283</v>
      </c>
      <c r="J945" s="2">
        <v>0</v>
      </c>
      <c r="K945" s="3">
        <v>289679</v>
      </c>
      <c r="L945" s="3">
        <v>154136.69</v>
      </c>
      <c r="M945" s="3">
        <v>135542.31</v>
      </c>
    </row>
    <row r="946" spans="1:13" x14ac:dyDescent="0.3">
      <c r="A946" t="s">
        <v>134</v>
      </c>
      <c r="B946" s="4">
        <v>45893</v>
      </c>
      <c r="C946" t="s">
        <v>133</v>
      </c>
      <c r="D946" t="s">
        <v>53</v>
      </c>
      <c r="E946" t="s">
        <v>2</v>
      </c>
      <c r="F946" t="s">
        <v>13</v>
      </c>
      <c r="G946" t="s">
        <v>6</v>
      </c>
      <c r="H946">
        <v>15</v>
      </c>
      <c r="I946" s="3">
        <v>49326</v>
      </c>
      <c r="J946" s="2">
        <v>0.05</v>
      </c>
      <c r="K946" s="3">
        <v>702895.5</v>
      </c>
      <c r="L946" s="3">
        <v>503033.57</v>
      </c>
      <c r="M946" s="3">
        <v>199861.93</v>
      </c>
    </row>
    <row r="947" spans="1:13" x14ac:dyDescent="0.3">
      <c r="A947" t="s">
        <v>132</v>
      </c>
      <c r="B947" s="4">
        <v>45753</v>
      </c>
      <c r="C947" t="s">
        <v>131</v>
      </c>
      <c r="D947" t="s">
        <v>25</v>
      </c>
      <c r="E947" t="s">
        <v>24</v>
      </c>
      <c r="F947" t="s">
        <v>33</v>
      </c>
      <c r="G947" t="s">
        <v>16</v>
      </c>
      <c r="H947">
        <v>2</v>
      </c>
      <c r="I947" s="3">
        <v>69521</v>
      </c>
      <c r="J947" s="2">
        <v>0.15</v>
      </c>
      <c r="K947" s="3">
        <v>118185.7</v>
      </c>
      <c r="L947" s="3">
        <v>71506.880000000005</v>
      </c>
      <c r="M947" s="3">
        <v>46678.82</v>
      </c>
    </row>
    <row r="948" spans="1:13" x14ac:dyDescent="0.3">
      <c r="A948" t="s">
        <v>130</v>
      </c>
      <c r="B948" s="4">
        <v>45549</v>
      </c>
      <c r="C948" t="s">
        <v>129</v>
      </c>
      <c r="D948" t="s">
        <v>17</v>
      </c>
      <c r="E948" t="s">
        <v>2</v>
      </c>
      <c r="F948" t="s">
        <v>7</v>
      </c>
      <c r="G948" t="s">
        <v>16</v>
      </c>
      <c r="H948">
        <v>15</v>
      </c>
      <c r="I948" s="3">
        <v>30891</v>
      </c>
      <c r="J948" s="2">
        <v>0.15</v>
      </c>
      <c r="K948" s="3">
        <v>393860.25</v>
      </c>
      <c r="L948" s="3">
        <v>330480.52</v>
      </c>
      <c r="M948" s="3">
        <v>63379.73</v>
      </c>
    </row>
    <row r="949" spans="1:13" x14ac:dyDescent="0.3">
      <c r="A949" t="s">
        <v>128</v>
      </c>
      <c r="B949" s="4">
        <v>45701</v>
      </c>
      <c r="C949" t="s">
        <v>127</v>
      </c>
      <c r="D949" t="s">
        <v>9</v>
      </c>
      <c r="E949" t="s">
        <v>8</v>
      </c>
      <c r="F949" t="s">
        <v>13</v>
      </c>
      <c r="G949" t="s">
        <v>0</v>
      </c>
      <c r="H949">
        <v>14</v>
      </c>
      <c r="I949" s="3">
        <v>50638</v>
      </c>
      <c r="J949" s="2">
        <v>0.15</v>
      </c>
      <c r="K949" s="3">
        <v>602592.19999999995</v>
      </c>
      <c r="L949" s="3">
        <v>410775.03</v>
      </c>
      <c r="M949" s="3">
        <v>191817.17</v>
      </c>
    </row>
    <row r="950" spans="1:13" x14ac:dyDescent="0.3">
      <c r="A950" t="s">
        <v>126</v>
      </c>
      <c r="B950" s="4">
        <v>45966</v>
      </c>
      <c r="C950" t="s">
        <v>125</v>
      </c>
      <c r="D950" t="s">
        <v>53</v>
      </c>
      <c r="E950" t="s">
        <v>2</v>
      </c>
      <c r="F950" t="s">
        <v>1</v>
      </c>
      <c r="G950" t="s">
        <v>12</v>
      </c>
      <c r="H950">
        <v>1</v>
      </c>
      <c r="I950" s="3">
        <v>59846</v>
      </c>
      <c r="J950" s="2">
        <v>0.1</v>
      </c>
      <c r="K950" s="3">
        <v>53861.4</v>
      </c>
      <c r="L950" s="3">
        <v>43405.74</v>
      </c>
      <c r="M950" s="3">
        <v>10455.66</v>
      </c>
    </row>
    <row r="951" spans="1:13" x14ac:dyDescent="0.3">
      <c r="A951" t="s">
        <v>124</v>
      </c>
      <c r="B951" s="4">
        <v>46048</v>
      </c>
      <c r="C951" t="s">
        <v>123</v>
      </c>
      <c r="D951" t="s">
        <v>56</v>
      </c>
      <c r="E951" t="s">
        <v>24</v>
      </c>
      <c r="F951" t="s">
        <v>13</v>
      </c>
      <c r="G951" t="s">
        <v>12</v>
      </c>
      <c r="H951">
        <v>13</v>
      </c>
      <c r="I951" s="3">
        <v>37198</v>
      </c>
      <c r="J951" s="2">
        <v>0.1</v>
      </c>
      <c r="K951" s="3">
        <v>435216.6</v>
      </c>
      <c r="L951" s="3">
        <v>240860.38</v>
      </c>
      <c r="M951" s="3">
        <v>194356.22</v>
      </c>
    </row>
    <row r="952" spans="1:13" x14ac:dyDescent="0.3">
      <c r="A952" t="s">
        <v>122</v>
      </c>
      <c r="B952" s="4">
        <v>45690</v>
      </c>
      <c r="C952" t="s">
        <v>121</v>
      </c>
      <c r="D952" t="s">
        <v>25</v>
      </c>
      <c r="E952" t="s">
        <v>24</v>
      </c>
      <c r="F952" t="s">
        <v>33</v>
      </c>
      <c r="G952" t="s">
        <v>37</v>
      </c>
      <c r="H952">
        <v>5</v>
      </c>
      <c r="I952" s="3">
        <v>32202</v>
      </c>
      <c r="J952" s="2">
        <v>0</v>
      </c>
      <c r="K952" s="3">
        <v>161010</v>
      </c>
      <c r="L952" s="3">
        <v>112110.93</v>
      </c>
      <c r="M952" s="3">
        <v>48899.07</v>
      </c>
    </row>
    <row r="953" spans="1:13" x14ac:dyDescent="0.3">
      <c r="A953" t="s">
        <v>120</v>
      </c>
      <c r="B953" s="4">
        <v>45588</v>
      </c>
      <c r="C953" t="s">
        <v>119</v>
      </c>
      <c r="D953" t="s">
        <v>53</v>
      </c>
      <c r="E953" t="s">
        <v>2</v>
      </c>
      <c r="F953" t="s">
        <v>23</v>
      </c>
      <c r="G953" t="s">
        <v>37</v>
      </c>
      <c r="H953">
        <v>8</v>
      </c>
      <c r="I953" s="3">
        <v>40686</v>
      </c>
      <c r="J953" s="2">
        <v>0.2</v>
      </c>
      <c r="K953" s="3">
        <v>260390.39999999999</v>
      </c>
      <c r="L953" s="3">
        <v>170280.83</v>
      </c>
      <c r="M953" s="3">
        <v>90109.57</v>
      </c>
    </row>
    <row r="954" spans="1:13" x14ac:dyDescent="0.3">
      <c r="A954" t="s">
        <v>118</v>
      </c>
      <c r="B954" s="4">
        <v>45753</v>
      </c>
      <c r="C954" t="s">
        <v>117</v>
      </c>
      <c r="D954" t="s">
        <v>17</v>
      </c>
      <c r="E954" t="s">
        <v>2</v>
      </c>
      <c r="F954" t="s">
        <v>7</v>
      </c>
      <c r="G954" t="s">
        <v>12</v>
      </c>
      <c r="H954">
        <v>5</v>
      </c>
      <c r="I954" s="3">
        <v>67338</v>
      </c>
      <c r="J954" s="2">
        <v>0</v>
      </c>
      <c r="K954" s="3">
        <v>336690</v>
      </c>
      <c r="L954" s="3">
        <v>263868.71999999997</v>
      </c>
      <c r="M954" s="3">
        <v>72821.279999999999</v>
      </c>
    </row>
    <row r="955" spans="1:13" x14ac:dyDescent="0.3">
      <c r="A955" t="s">
        <v>116</v>
      </c>
      <c r="B955" s="4">
        <v>45560</v>
      </c>
      <c r="C955" t="s">
        <v>115</v>
      </c>
      <c r="D955" t="s">
        <v>25</v>
      </c>
      <c r="E955" t="s">
        <v>24</v>
      </c>
      <c r="F955" t="s">
        <v>23</v>
      </c>
      <c r="G955" t="s">
        <v>37</v>
      </c>
      <c r="H955">
        <v>1</v>
      </c>
      <c r="I955" s="3">
        <v>4551</v>
      </c>
      <c r="J955" s="2">
        <v>0.05</v>
      </c>
      <c r="K955" s="3">
        <v>4323.45</v>
      </c>
      <c r="L955" s="3">
        <v>2924.03</v>
      </c>
      <c r="M955" s="3">
        <v>1399.42</v>
      </c>
    </row>
    <row r="956" spans="1:13" x14ac:dyDescent="0.3">
      <c r="A956" t="s">
        <v>114</v>
      </c>
      <c r="B956" s="4">
        <v>45819</v>
      </c>
      <c r="C956" t="s">
        <v>113</v>
      </c>
      <c r="D956" t="s">
        <v>42</v>
      </c>
      <c r="E956" t="s">
        <v>8</v>
      </c>
      <c r="F956" t="s">
        <v>33</v>
      </c>
      <c r="G956" t="s">
        <v>16</v>
      </c>
      <c r="H956">
        <v>10</v>
      </c>
      <c r="I956" s="3">
        <v>68850</v>
      </c>
      <c r="J956" s="2">
        <v>0</v>
      </c>
      <c r="K956" s="3">
        <v>688500</v>
      </c>
      <c r="L956" s="3">
        <v>377251.39</v>
      </c>
      <c r="M956" s="3">
        <v>311248.61</v>
      </c>
    </row>
    <row r="957" spans="1:13" x14ac:dyDescent="0.3">
      <c r="A957" t="s">
        <v>112</v>
      </c>
      <c r="B957" s="4">
        <v>46136</v>
      </c>
      <c r="C957" t="s">
        <v>111</v>
      </c>
      <c r="D957" t="s">
        <v>34</v>
      </c>
      <c r="E957" t="s">
        <v>24</v>
      </c>
      <c r="F957" t="s">
        <v>23</v>
      </c>
      <c r="G957" t="s">
        <v>20</v>
      </c>
      <c r="H957">
        <v>4</v>
      </c>
      <c r="I957" s="3">
        <v>41993</v>
      </c>
      <c r="J957" s="2">
        <v>0</v>
      </c>
      <c r="K957" s="3">
        <v>167972</v>
      </c>
      <c r="L957" s="3">
        <v>117101.63</v>
      </c>
      <c r="M957" s="3">
        <v>50870.37</v>
      </c>
    </row>
    <row r="958" spans="1:13" x14ac:dyDescent="0.3">
      <c r="A958" t="s">
        <v>110</v>
      </c>
      <c r="B958" s="4">
        <v>45962</v>
      </c>
      <c r="C958" t="s">
        <v>109</v>
      </c>
      <c r="D958" t="s">
        <v>28</v>
      </c>
      <c r="E958" t="s">
        <v>8</v>
      </c>
      <c r="F958" t="s">
        <v>23</v>
      </c>
      <c r="G958" t="s">
        <v>20</v>
      </c>
      <c r="H958">
        <v>5</v>
      </c>
      <c r="I958" s="3">
        <v>8654</v>
      </c>
      <c r="J958" s="2">
        <v>0</v>
      </c>
      <c r="K958" s="3">
        <v>43270</v>
      </c>
      <c r="L958" s="3">
        <v>23156.07</v>
      </c>
      <c r="M958" s="3">
        <v>20113.93</v>
      </c>
    </row>
    <row r="959" spans="1:13" x14ac:dyDescent="0.3">
      <c r="A959" t="s">
        <v>108</v>
      </c>
      <c r="B959" s="4">
        <v>46043</v>
      </c>
      <c r="C959" t="s">
        <v>107</v>
      </c>
      <c r="D959" t="s">
        <v>42</v>
      </c>
      <c r="E959" t="s">
        <v>8</v>
      </c>
      <c r="F959" t="s">
        <v>13</v>
      </c>
      <c r="G959" t="s">
        <v>16</v>
      </c>
      <c r="H959">
        <v>10</v>
      </c>
      <c r="I959" s="3">
        <v>37413</v>
      </c>
      <c r="J959" s="2">
        <v>0.15</v>
      </c>
      <c r="K959" s="3">
        <v>318010.5</v>
      </c>
      <c r="L959" s="3">
        <v>191216.77</v>
      </c>
      <c r="M959" s="3">
        <v>126793.73</v>
      </c>
    </row>
    <row r="960" spans="1:13" x14ac:dyDescent="0.3">
      <c r="A960" t="s">
        <v>106</v>
      </c>
      <c r="B960" s="4">
        <v>45895</v>
      </c>
      <c r="C960" t="s">
        <v>105</v>
      </c>
      <c r="D960" t="s">
        <v>17</v>
      </c>
      <c r="E960" t="s">
        <v>2</v>
      </c>
      <c r="F960" t="s">
        <v>13</v>
      </c>
      <c r="G960" t="s">
        <v>37</v>
      </c>
      <c r="H960">
        <v>8</v>
      </c>
      <c r="I960" s="3">
        <v>43643</v>
      </c>
      <c r="J960" s="2">
        <v>0.1</v>
      </c>
      <c r="K960" s="3">
        <v>314229.59999999998</v>
      </c>
      <c r="L960" s="3">
        <v>217653.26</v>
      </c>
      <c r="M960" s="3">
        <v>96576.34</v>
      </c>
    </row>
    <row r="961" spans="1:13" x14ac:dyDescent="0.3">
      <c r="A961" t="s">
        <v>104</v>
      </c>
      <c r="B961" s="4">
        <v>46042</v>
      </c>
      <c r="C961" t="s">
        <v>103</v>
      </c>
      <c r="D961" t="s">
        <v>53</v>
      </c>
      <c r="E961" t="s">
        <v>2</v>
      </c>
      <c r="F961" t="s">
        <v>7</v>
      </c>
      <c r="G961" t="s">
        <v>20</v>
      </c>
      <c r="H961">
        <v>8</v>
      </c>
      <c r="I961" s="3">
        <v>45619</v>
      </c>
      <c r="J961" s="2">
        <v>0.05</v>
      </c>
      <c r="K961" s="3">
        <v>346704.4</v>
      </c>
      <c r="L961" s="3">
        <v>218098.16</v>
      </c>
      <c r="M961" s="3">
        <v>128606.24</v>
      </c>
    </row>
    <row r="962" spans="1:13" x14ac:dyDescent="0.3">
      <c r="A962" t="s">
        <v>102</v>
      </c>
      <c r="B962" s="4">
        <v>45614</v>
      </c>
      <c r="C962" t="s">
        <v>101</v>
      </c>
      <c r="D962" t="s">
        <v>28</v>
      </c>
      <c r="E962" t="s">
        <v>8</v>
      </c>
      <c r="F962" t="s">
        <v>13</v>
      </c>
      <c r="G962" t="s">
        <v>0</v>
      </c>
      <c r="H962">
        <v>12</v>
      </c>
      <c r="I962" s="3">
        <v>41378</v>
      </c>
      <c r="J962" s="2">
        <v>0.1</v>
      </c>
      <c r="K962" s="3">
        <v>446882.4</v>
      </c>
      <c r="L962" s="3">
        <v>262142.1</v>
      </c>
      <c r="M962" s="3">
        <v>184740.3</v>
      </c>
    </row>
    <row r="963" spans="1:13" x14ac:dyDescent="0.3">
      <c r="A963" t="s">
        <v>100</v>
      </c>
      <c r="B963" s="4">
        <v>46115</v>
      </c>
      <c r="C963" t="s">
        <v>99</v>
      </c>
      <c r="D963" t="s">
        <v>9</v>
      </c>
      <c r="E963" t="s">
        <v>8</v>
      </c>
      <c r="F963" t="s">
        <v>7</v>
      </c>
      <c r="G963" t="s">
        <v>20</v>
      </c>
      <c r="H963">
        <v>15</v>
      </c>
      <c r="I963" s="3">
        <v>32592</v>
      </c>
      <c r="J963" s="2">
        <v>0.15</v>
      </c>
      <c r="K963" s="3">
        <v>415548</v>
      </c>
      <c r="L963" s="3">
        <v>344965.2</v>
      </c>
      <c r="M963" s="3">
        <v>70582.8</v>
      </c>
    </row>
    <row r="964" spans="1:13" x14ac:dyDescent="0.3">
      <c r="A964" t="s">
        <v>98</v>
      </c>
      <c r="B964" s="4">
        <v>45738</v>
      </c>
      <c r="C964" t="s">
        <v>97</v>
      </c>
      <c r="D964" t="s">
        <v>3</v>
      </c>
      <c r="E964" t="s">
        <v>2</v>
      </c>
      <c r="F964" t="s">
        <v>7</v>
      </c>
      <c r="G964" t="s">
        <v>6</v>
      </c>
      <c r="H964">
        <v>9</v>
      </c>
      <c r="I964" s="3">
        <v>17776</v>
      </c>
      <c r="J964" s="2">
        <v>0.2</v>
      </c>
      <c r="K964" s="3">
        <v>127987.2</v>
      </c>
      <c r="L964" s="3">
        <v>64675.74</v>
      </c>
      <c r="M964" s="3">
        <v>63311.46</v>
      </c>
    </row>
    <row r="965" spans="1:13" x14ac:dyDescent="0.3">
      <c r="A965" t="s">
        <v>96</v>
      </c>
      <c r="B965" s="4">
        <v>46035</v>
      </c>
      <c r="C965" t="s">
        <v>95</v>
      </c>
      <c r="D965" t="s">
        <v>17</v>
      </c>
      <c r="E965" t="s">
        <v>2</v>
      </c>
      <c r="F965" t="s">
        <v>23</v>
      </c>
      <c r="G965" t="s">
        <v>0</v>
      </c>
      <c r="H965">
        <v>5</v>
      </c>
      <c r="I965" s="3">
        <v>26425</v>
      </c>
      <c r="J965" s="2">
        <v>0.15</v>
      </c>
      <c r="K965" s="3">
        <v>112306.25</v>
      </c>
      <c r="L965" s="3">
        <v>74334.81</v>
      </c>
      <c r="M965" s="3">
        <v>37971.440000000002</v>
      </c>
    </row>
    <row r="966" spans="1:13" x14ac:dyDescent="0.3">
      <c r="A966" t="s">
        <v>94</v>
      </c>
      <c r="B966" s="4">
        <v>45501</v>
      </c>
      <c r="C966" t="s">
        <v>93</v>
      </c>
      <c r="D966" t="s">
        <v>42</v>
      </c>
      <c r="E966" t="s">
        <v>8</v>
      </c>
      <c r="F966" t="s">
        <v>23</v>
      </c>
      <c r="G966" t="s">
        <v>12</v>
      </c>
      <c r="H966">
        <v>3</v>
      </c>
      <c r="I966" s="3">
        <v>63343</v>
      </c>
      <c r="J966" s="2">
        <v>0.2</v>
      </c>
      <c r="K966" s="3">
        <v>152023.20000000001</v>
      </c>
      <c r="L966" s="3">
        <v>112582.99</v>
      </c>
      <c r="M966" s="3">
        <v>39440.21</v>
      </c>
    </row>
    <row r="967" spans="1:13" x14ac:dyDescent="0.3">
      <c r="A967" t="s">
        <v>92</v>
      </c>
      <c r="B967" s="4">
        <v>45949</v>
      </c>
      <c r="C967" t="s">
        <v>91</v>
      </c>
      <c r="D967" t="s">
        <v>56</v>
      </c>
      <c r="E967" t="s">
        <v>24</v>
      </c>
      <c r="F967" t="s">
        <v>13</v>
      </c>
      <c r="G967" t="s">
        <v>6</v>
      </c>
      <c r="H967">
        <v>11</v>
      </c>
      <c r="I967" s="3">
        <v>56683</v>
      </c>
      <c r="J967" s="2">
        <v>0.05</v>
      </c>
      <c r="K967" s="3">
        <v>592337.35</v>
      </c>
      <c r="L967" s="3">
        <v>373830.67</v>
      </c>
      <c r="M967" s="3">
        <v>218506.68</v>
      </c>
    </row>
    <row r="968" spans="1:13" x14ac:dyDescent="0.3">
      <c r="A968" t="s">
        <v>90</v>
      </c>
      <c r="B968" s="4">
        <v>45437</v>
      </c>
      <c r="C968" t="s">
        <v>89</v>
      </c>
      <c r="D968" t="s">
        <v>28</v>
      </c>
      <c r="E968" t="s">
        <v>8</v>
      </c>
      <c r="F968" t="s">
        <v>33</v>
      </c>
      <c r="G968" t="s">
        <v>12</v>
      </c>
      <c r="H968">
        <v>7</v>
      </c>
      <c r="I968" s="3">
        <v>53405</v>
      </c>
      <c r="J968" s="2">
        <v>0.2</v>
      </c>
      <c r="K968" s="3">
        <v>299068</v>
      </c>
      <c r="L968" s="3">
        <v>190955.53</v>
      </c>
      <c r="M968" s="3">
        <v>108112.47</v>
      </c>
    </row>
    <row r="969" spans="1:13" x14ac:dyDescent="0.3">
      <c r="A969" t="s">
        <v>88</v>
      </c>
      <c r="B969" s="4">
        <v>46116</v>
      </c>
      <c r="C969" t="s">
        <v>87</v>
      </c>
      <c r="D969" t="s">
        <v>28</v>
      </c>
      <c r="E969" t="s">
        <v>8</v>
      </c>
      <c r="F969" t="s">
        <v>1</v>
      </c>
      <c r="G969" t="s">
        <v>6</v>
      </c>
      <c r="H969">
        <v>9</v>
      </c>
      <c r="I969" s="3">
        <v>62024</v>
      </c>
      <c r="J969" s="2">
        <v>0</v>
      </c>
      <c r="K969" s="3">
        <v>558216</v>
      </c>
      <c r="L969" s="3">
        <v>443048.34</v>
      </c>
      <c r="M969" s="3">
        <v>115167.66</v>
      </c>
    </row>
    <row r="970" spans="1:13" x14ac:dyDescent="0.3">
      <c r="A970" t="s">
        <v>86</v>
      </c>
      <c r="B970" s="4">
        <v>45789</v>
      </c>
      <c r="C970" t="s">
        <v>85</v>
      </c>
      <c r="D970" t="s">
        <v>42</v>
      </c>
      <c r="E970" t="s">
        <v>8</v>
      </c>
      <c r="F970" t="s">
        <v>7</v>
      </c>
      <c r="G970" t="s">
        <v>16</v>
      </c>
      <c r="H970">
        <v>12</v>
      </c>
      <c r="I970" s="3">
        <v>74198</v>
      </c>
      <c r="J970" s="2">
        <v>0.05</v>
      </c>
      <c r="K970" s="3">
        <v>845857.2</v>
      </c>
      <c r="L970" s="3">
        <v>669651.93000000005</v>
      </c>
      <c r="M970" s="3">
        <v>176205.27</v>
      </c>
    </row>
    <row r="971" spans="1:13" x14ac:dyDescent="0.3">
      <c r="A971" t="s">
        <v>84</v>
      </c>
      <c r="B971" s="4">
        <v>45739</v>
      </c>
      <c r="C971" t="s">
        <v>83</v>
      </c>
      <c r="D971" t="s">
        <v>56</v>
      </c>
      <c r="E971" t="s">
        <v>24</v>
      </c>
      <c r="F971" t="s">
        <v>1</v>
      </c>
      <c r="G971" t="s">
        <v>12</v>
      </c>
      <c r="H971">
        <v>5</v>
      </c>
      <c r="I971" s="3">
        <v>49293</v>
      </c>
      <c r="J971" s="2">
        <v>0.05</v>
      </c>
      <c r="K971" s="3">
        <v>234141.75</v>
      </c>
      <c r="L971" s="3">
        <v>186289.38</v>
      </c>
      <c r="M971" s="3">
        <v>47852.37</v>
      </c>
    </row>
    <row r="972" spans="1:13" x14ac:dyDescent="0.3">
      <c r="A972" t="s">
        <v>82</v>
      </c>
      <c r="B972" s="4">
        <v>45502</v>
      </c>
      <c r="C972" t="s">
        <v>81</v>
      </c>
      <c r="D972" t="s">
        <v>3</v>
      </c>
      <c r="E972" t="s">
        <v>2</v>
      </c>
      <c r="F972" t="s">
        <v>23</v>
      </c>
      <c r="G972" t="s">
        <v>20</v>
      </c>
      <c r="H972">
        <v>15</v>
      </c>
      <c r="I972" s="3">
        <v>70480</v>
      </c>
      <c r="J972" s="2">
        <v>0.05</v>
      </c>
      <c r="K972" s="3">
        <v>1004340</v>
      </c>
      <c r="L972" s="3">
        <v>670340.79</v>
      </c>
      <c r="M972" s="3">
        <v>333999.21000000002</v>
      </c>
    </row>
    <row r="973" spans="1:13" x14ac:dyDescent="0.3">
      <c r="A973" t="s">
        <v>80</v>
      </c>
      <c r="B973" s="4">
        <v>45852</v>
      </c>
      <c r="C973" t="s">
        <v>79</v>
      </c>
      <c r="D973" t="s">
        <v>3</v>
      </c>
      <c r="E973" t="s">
        <v>2</v>
      </c>
      <c r="F973" t="s">
        <v>7</v>
      </c>
      <c r="G973" t="s">
        <v>0</v>
      </c>
      <c r="H973">
        <v>12</v>
      </c>
      <c r="I973" s="3">
        <v>73207</v>
      </c>
      <c r="J973" s="2">
        <v>0.05</v>
      </c>
      <c r="K973" s="3">
        <v>834559.8</v>
      </c>
      <c r="L973" s="3">
        <v>703313.82</v>
      </c>
      <c r="M973" s="3">
        <v>131245.98000000001</v>
      </c>
    </row>
    <row r="974" spans="1:13" x14ac:dyDescent="0.3">
      <c r="A974" t="s">
        <v>78</v>
      </c>
      <c r="B974" s="4">
        <v>45466</v>
      </c>
      <c r="C974" t="s">
        <v>77</v>
      </c>
      <c r="D974" t="s">
        <v>25</v>
      </c>
      <c r="E974" t="s">
        <v>24</v>
      </c>
      <c r="F974" t="s">
        <v>33</v>
      </c>
      <c r="G974" t="s">
        <v>12</v>
      </c>
      <c r="H974">
        <v>5</v>
      </c>
      <c r="I974" s="3">
        <v>27994</v>
      </c>
      <c r="J974" s="2">
        <v>0.15</v>
      </c>
      <c r="K974" s="3">
        <v>118974.5</v>
      </c>
      <c r="L974" s="3">
        <v>97754.13</v>
      </c>
      <c r="M974" s="3">
        <v>21220.37</v>
      </c>
    </row>
    <row r="975" spans="1:13" x14ac:dyDescent="0.3">
      <c r="A975" t="s">
        <v>76</v>
      </c>
      <c r="B975" s="4">
        <v>45692</v>
      </c>
      <c r="C975" t="s">
        <v>75</v>
      </c>
      <c r="D975" t="s">
        <v>56</v>
      </c>
      <c r="E975" t="s">
        <v>24</v>
      </c>
      <c r="F975" t="s">
        <v>23</v>
      </c>
      <c r="G975" t="s">
        <v>12</v>
      </c>
      <c r="H975">
        <v>1</v>
      </c>
      <c r="I975" s="3">
        <v>58746</v>
      </c>
      <c r="J975" s="2">
        <v>0.15</v>
      </c>
      <c r="K975" s="3">
        <v>49934.1</v>
      </c>
      <c r="L975" s="3">
        <v>38710.199999999997</v>
      </c>
      <c r="M975" s="3">
        <v>11223.9</v>
      </c>
    </row>
    <row r="976" spans="1:13" x14ac:dyDescent="0.3">
      <c r="A976" t="s">
        <v>74</v>
      </c>
      <c r="B976" s="4">
        <v>46125</v>
      </c>
      <c r="C976" t="s">
        <v>73</v>
      </c>
      <c r="D976" t="s">
        <v>56</v>
      </c>
      <c r="E976" t="s">
        <v>24</v>
      </c>
      <c r="F976" t="s">
        <v>33</v>
      </c>
      <c r="G976" t="s">
        <v>20</v>
      </c>
      <c r="H976">
        <v>4</v>
      </c>
      <c r="I976" s="3">
        <v>4183</v>
      </c>
      <c r="J976" s="2">
        <v>0.2</v>
      </c>
      <c r="K976" s="3">
        <v>13385.6</v>
      </c>
      <c r="L976" s="3">
        <v>7159.15</v>
      </c>
      <c r="M976" s="3">
        <v>6226.45</v>
      </c>
    </row>
    <row r="977" spans="1:13" x14ac:dyDescent="0.3">
      <c r="A977" t="s">
        <v>72</v>
      </c>
      <c r="B977" s="4">
        <v>45673</v>
      </c>
      <c r="C977" t="s">
        <v>71</v>
      </c>
      <c r="D977" t="s">
        <v>9</v>
      </c>
      <c r="E977" t="s">
        <v>8</v>
      </c>
      <c r="F977" t="s">
        <v>23</v>
      </c>
      <c r="G977" t="s">
        <v>0</v>
      </c>
      <c r="H977">
        <v>2</v>
      </c>
      <c r="I977" s="3">
        <v>33266</v>
      </c>
      <c r="J977" s="2">
        <v>0.15</v>
      </c>
      <c r="K977" s="3">
        <v>56552.2</v>
      </c>
      <c r="L977" s="3">
        <v>33951.56</v>
      </c>
      <c r="M977" s="3">
        <v>22600.639999999999</v>
      </c>
    </row>
    <row r="978" spans="1:13" x14ac:dyDescent="0.3">
      <c r="A978" t="s">
        <v>70</v>
      </c>
      <c r="B978" s="4">
        <v>46079</v>
      </c>
      <c r="C978" t="s">
        <v>69</v>
      </c>
      <c r="D978" t="s">
        <v>42</v>
      </c>
      <c r="E978" t="s">
        <v>8</v>
      </c>
      <c r="F978" t="s">
        <v>13</v>
      </c>
      <c r="G978" t="s">
        <v>6</v>
      </c>
      <c r="H978">
        <v>15</v>
      </c>
      <c r="I978" s="3">
        <v>17332</v>
      </c>
      <c r="J978" s="2">
        <v>0.2</v>
      </c>
      <c r="K978" s="3">
        <v>207984</v>
      </c>
      <c r="L978" s="3">
        <v>105523.02</v>
      </c>
      <c r="M978" s="3">
        <v>102460.98</v>
      </c>
    </row>
    <row r="979" spans="1:13" x14ac:dyDescent="0.3">
      <c r="A979" t="s">
        <v>68</v>
      </c>
      <c r="B979" s="4">
        <v>46096</v>
      </c>
      <c r="C979" t="s">
        <v>67</v>
      </c>
      <c r="D979" t="s">
        <v>34</v>
      </c>
      <c r="E979" t="s">
        <v>24</v>
      </c>
      <c r="F979" t="s">
        <v>33</v>
      </c>
      <c r="G979" t="s">
        <v>0</v>
      </c>
      <c r="H979">
        <v>3</v>
      </c>
      <c r="I979" s="3">
        <v>53244</v>
      </c>
      <c r="J979" s="2">
        <v>0.05</v>
      </c>
      <c r="K979" s="3">
        <v>151745.4</v>
      </c>
      <c r="L979" s="3">
        <v>123409.93</v>
      </c>
      <c r="M979" s="3">
        <v>28335.47</v>
      </c>
    </row>
    <row r="980" spans="1:13" x14ac:dyDescent="0.3">
      <c r="A980" t="s">
        <v>66</v>
      </c>
      <c r="B980" s="4">
        <v>46062</v>
      </c>
      <c r="C980" t="s">
        <v>65</v>
      </c>
      <c r="D980" t="s">
        <v>56</v>
      </c>
      <c r="E980" t="s">
        <v>24</v>
      </c>
      <c r="F980" t="s">
        <v>13</v>
      </c>
      <c r="G980" t="s">
        <v>6</v>
      </c>
      <c r="H980">
        <v>3</v>
      </c>
      <c r="I980" s="3">
        <v>26072</v>
      </c>
      <c r="J980" s="2">
        <v>0</v>
      </c>
      <c r="K980" s="3">
        <v>78216</v>
      </c>
      <c r="L980" s="3">
        <v>58498.15</v>
      </c>
      <c r="M980" s="3">
        <v>19717.849999999999</v>
      </c>
    </row>
    <row r="981" spans="1:13" x14ac:dyDescent="0.3">
      <c r="A981" t="s">
        <v>64</v>
      </c>
      <c r="B981" s="4">
        <v>45863</v>
      </c>
      <c r="C981" t="s">
        <v>63</v>
      </c>
      <c r="D981" t="s">
        <v>28</v>
      </c>
      <c r="E981" t="s">
        <v>8</v>
      </c>
      <c r="F981" t="s">
        <v>13</v>
      </c>
      <c r="G981" t="s">
        <v>6</v>
      </c>
      <c r="H981">
        <v>10</v>
      </c>
      <c r="I981" s="3">
        <v>57847</v>
      </c>
      <c r="J981" s="2">
        <v>0.05</v>
      </c>
      <c r="K981" s="3">
        <v>549546.5</v>
      </c>
      <c r="L981" s="3">
        <v>431043.04</v>
      </c>
      <c r="M981" s="3">
        <v>118503.46</v>
      </c>
    </row>
    <row r="982" spans="1:13" x14ac:dyDescent="0.3">
      <c r="A982" t="s">
        <v>62</v>
      </c>
      <c r="B982" s="4">
        <v>45538</v>
      </c>
      <c r="C982" t="s">
        <v>61</v>
      </c>
      <c r="D982" t="s">
        <v>25</v>
      </c>
      <c r="E982" t="s">
        <v>24</v>
      </c>
      <c r="F982" t="s">
        <v>23</v>
      </c>
      <c r="G982" t="s">
        <v>0</v>
      </c>
      <c r="H982">
        <v>15</v>
      </c>
      <c r="I982" s="3">
        <v>66659</v>
      </c>
      <c r="J982" s="2">
        <v>0.1</v>
      </c>
      <c r="K982" s="3">
        <v>899896.5</v>
      </c>
      <c r="L982" s="3">
        <v>609584.87</v>
      </c>
      <c r="M982" s="3">
        <v>290311.63</v>
      </c>
    </row>
    <row r="983" spans="1:13" x14ac:dyDescent="0.3">
      <c r="A983" t="s">
        <v>60</v>
      </c>
      <c r="B983" s="4">
        <v>45492</v>
      </c>
      <c r="C983" t="s">
        <v>59</v>
      </c>
      <c r="D983" t="s">
        <v>34</v>
      </c>
      <c r="E983" t="s">
        <v>24</v>
      </c>
      <c r="F983" t="s">
        <v>13</v>
      </c>
      <c r="G983" t="s">
        <v>16</v>
      </c>
      <c r="H983">
        <v>12</v>
      </c>
      <c r="I983" s="3">
        <v>35105</v>
      </c>
      <c r="J983" s="2">
        <v>0.1</v>
      </c>
      <c r="K983" s="3">
        <v>379134</v>
      </c>
      <c r="L983" s="3">
        <v>313946.56</v>
      </c>
      <c r="M983" s="3">
        <v>65187.44</v>
      </c>
    </row>
    <row r="984" spans="1:13" x14ac:dyDescent="0.3">
      <c r="A984" t="s">
        <v>58</v>
      </c>
      <c r="B984" s="4">
        <v>45663</v>
      </c>
      <c r="C984" t="s">
        <v>57</v>
      </c>
      <c r="D984" t="s">
        <v>56</v>
      </c>
      <c r="E984" t="s">
        <v>24</v>
      </c>
      <c r="F984" t="s">
        <v>1</v>
      </c>
      <c r="G984" t="s">
        <v>37</v>
      </c>
      <c r="H984">
        <v>8</v>
      </c>
      <c r="I984" s="3">
        <v>42642</v>
      </c>
      <c r="J984" s="2">
        <v>0</v>
      </c>
      <c r="K984" s="3">
        <v>341136</v>
      </c>
      <c r="L984" s="3">
        <v>252793.60000000001</v>
      </c>
      <c r="M984" s="3">
        <v>88342.399999999994</v>
      </c>
    </row>
    <row r="985" spans="1:13" x14ac:dyDescent="0.3">
      <c r="A985" t="s">
        <v>55</v>
      </c>
      <c r="B985" s="4">
        <v>45725</v>
      </c>
      <c r="C985" t="s">
        <v>54</v>
      </c>
      <c r="D985" t="s">
        <v>53</v>
      </c>
      <c r="E985" t="s">
        <v>2</v>
      </c>
      <c r="F985" t="s">
        <v>33</v>
      </c>
      <c r="G985" t="s">
        <v>6</v>
      </c>
      <c r="H985">
        <v>11</v>
      </c>
      <c r="I985" s="3">
        <v>17732</v>
      </c>
      <c r="J985" s="2">
        <v>0.05</v>
      </c>
      <c r="K985" s="3">
        <v>185299.4</v>
      </c>
      <c r="L985" s="3">
        <v>101453.2</v>
      </c>
      <c r="M985" s="3">
        <v>83846.2</v>
      </c>
    </row>
    <row r="986" spans="1:13" x14ac:dyDescent="0.3">
      <c r="A986" t="s">
        <v>52</v>
      </c>
      <c r="B986" s="4">
        <v>45942</v>
      </c>
      <c r="C986" t="s">
        <v>51</v>
      </c>
      <c r="D986" t="s">
        <v>25</v>
      </c>
      <c r="E986" t="s">
        <v>24</v>
      </c>
      <c r="F986" t="s">
        <v>1</v>
      </c>
      <c r="G986" t="s">
        <v>37</v>
      </c>
      <c r="H986">
        <v>6</v>
      </c>
      <c r="I986" s="3">
        <v>59408</v>
      </c>
      <c r="J986" s="2">
        <v>0.15</v>
      </c>
      <c r="K986" s="3">
        <v>302980.8</v>
      </c>
      <c r="L986" s="3">
        <v>235594.77</v>
      </c>
      <c r="M986" s="3">
        <v>67386.03</v>
      </c>
    </row>
    <row r="987" spans="1:13" x14ac:dyDescent="0.3">
      <c r="A987" t="s">
        <v>50</v>
      </c>
      <c r="B987" s="4">
        <v>45964</v>
      </c>
      <c r="C987" t="s">
        <v>49</v>
      </c>
      <c r="D987" t="s">
        <v>17</v>
      </c>
      <c r="E987" t="s">
        <v>2</v>
      </c>
      <c r="F987" t="s">
        <v>33</v>
      </c>
      <c r="G987" t="s">
        <v>6</v>
      </c>
      <c r="H987">
        <v>2</v>
      </c>
      <c r="I987" s="3">
        <v>9816</v>
      </c>
      <c r="J987" s="2">
        <v>0.15</v>
      </c>
      <c r="K987" s="3">
        <v>16687.2</v>
      </c>
      <c r="L987" s="3">
        <v>8523.9699999999993</v>
      </c>
      <c r="M987" s="3">
        <v>8163.23</v>
      </c>
    </row>
    <row r="988" spans="1:13" x14ac:dyDescent="0.3">
      <c r="A988" t="s">
        <v>48</v>
      </c>
      <c r="B988" s="4">
        <v>45832</v>
      </c>
      <c r="C988" t="s">
        <v>47</v>
      </c>
      <c r="D988" t="s">
        <v>34</v>
      </c>
      <c r="E988" t="s">
        <v>24</v>
      </c>
      <c r="F988" t="s">
        <v>23</v>
      </c>
      <c r="G988" t="s">
        <v>20</v>
      </c>
      <c r="H988">
        <v>2</v>
      </c>
      <c r="I988" s="3">
        <v>55216</v>
      </c>
      <c r="J988" s="2">
        <v>0.05</v>
      </c>
      <c r="K988" s="3">
        <v>104910.39999999999</v>
      </c>
      <c r="L988" s="3">
        <v>83657.509999999995</v>
      </c>
      <c r="M988" s="3">
        <v>21252.89</v>
      </c>
    </row>
    <row r="989" spans="1:13" x14ac:dyDescent="0.3">
      <c r="A989" t="s">
        <v>46</v>
      </c>
      <c r="B989" s="4">
        <v>45461</v>
      </c>
      <c r="C989" t="s">
        <v>45</v>
      </c>
      <c r="D989" t="s">
        <v>25</v>
      </c>
      <c r="E989" t="s">
        <v>24</v>
      </c>
      <c r="F989" t="s">
        <v>23</v>
      </c>
      <c r="G989" t="s">
        <v>6</v>
      </c>
      <c r="H989">
        <v>6</v>
      </c>
      <c r="I989" s="3">
        <v>40955</v>
      </c>
      <c r="J989" s="2">
        <v>0.15</v>
      </c>
      <c r="K989" s="3">
        <v>208870.5</v>
      </c>
      <c r="L989" s="3">
        <v>134827.91</v>
      </c>
      <c r="M989" s="3">
        <v>74042.59</v>
      </c>
    </row>
    <row r="990" spans="1:13" x14ac:dyDescent="0.3">
      <c r="A990" t="s">
        <v>44</v>
      </c>
      <c r="B990" s="4">
        <v>46161</v>
      </c>
      <c r="C990" t="s">
        <v>43</v>
      </c>
      <c r="D990" t="s">
        <v>42</v>
      </c>
      <c r="E990" t="s">
        <v>8</v>
      </c>
      <c r="F990" t="s">
        <v>33</v>
      </c>
      <c r="G990" t="s">
        <v>12</v>
      </c>
      <c r="H990">
        <v>6</v>
      </c>
      <c r="I990" s="3">
        <v>5888</v>
      </c>
      <c r="J990" s="2">
        <v>0.2</v>
      </c>
      <c r="K990" s="3">
        <v>28262.400000000001</v>
      </c>
      <c r="L990" s="3">
        <v>21924.84</v>
      </c>
      <c r="M990" s="3">
        <v>6337.56</v>
      </c>
    </row>
    <row r="991" spans="1:13" x14ac:dyDescent="0.3">
      <c r="A991" t="s">
        <v>41</v>
      </c>
      <c r="B991" s="4">
        <v>45881</v>
      </c>
      <c r="C991" t="s">
        <v>40</v>
      </c>
      <c r="D991" t="s">
        <v>17</v>
      </c>
      <c r="E991" t="s">
        <v>2</v>
      </c>
      <c r="F991" t="s">
        <v>33</v>
      </c>
      <c r="G991" t="s">
        <v>16</v>
      </c>
      <c r="H991">
        <v>1</v>
      </c>
      <c r="I991" s="3">
        <v>4516</v>
      </c>
      <c r="J991" s="2">
        <v>0</v>
      </c>
      <c r="K991" s="3">
        <v>4516</v>
      </c>
      <c r="L991" s="3">
        <v>3589.3</v>
      </c>
      <c r="M991" s="3">
        <v>926.7</v>
      </c>
    </row>
    <row r="992" spans="1:13" x14ac:dyDescent="0.3">
      <c r="A992" t="s">
        <v>39</v>
      </c>
      <c r="B992" s="4">
        <v>45891</v>
      </c>
      <c r="C992" t="s">
        <v>38</v>
      </c>
      <c r="D992" t="s">
        <v>28</v>
      </c>
      <c r="E992" t="s">
        <v>8</v>
      </c>
      <c r="F992" t="s">
        <v>7</v>
      </c>
      <c r="G992" t="s">
        <v>37</v>
      </c>
      <c r="H992">
        <v>6</v>
      </c>
      <c r="I992" s="3">
        <v>13934</v>
      </c>
      <c r="J992" s="2">
        <v>0.2</v>
      </c>
      <c r="K992" s="3">
        <v>66883.199999999997</v>
      </c>
      <c r="L992" s="3">
        <v>42302.33</v>
      </c>
      <c r="M992" s="3">
        <v>24580.87</v>
      </c>
    </row>
    <row r="993" spans="1:13" x14ac:dyDescent="0.3">
      <c r="A993" t="s">
        <v>36</v>
      </c>
      <c r="B993" s="4">
        <v>45660</v>
      </c>
      <c r="C993" t="s">
        <v>35</v>
      </c>
      <c r="D993" t="s">
        <v>34</v>
      </c>
      <c r="E993" t="s">
        <v>24</v>
      </c>
      <c r="F993" t="s">
        <v>33</v>
      </c>
      <c r="G993" t="s">
        <v>20</v>
      </c>
      <c r="H993">
        <v>5</v>
      </c>
      <c r="I993" s="3">
        <v>54656</v>
      </c>
      <c r="J993" s="2">
        <v>0.2</v>
      </c>
      <c r="K993" s="3">
        <v>218624</v>
      </c>
      <c r="L993" s="3">
        <v>182673.23</v>
      </c>
      <c r="M993" s="3">
        <v>35950.769999999997</v>
      </c>
    </row>
    <row r="994" spans="1:13" x14ac:dyDescent="0.3">
      <c r="A994" t="s">
        <v>32</v>
      </c>
      <c r="B994" s="4">
        <v>45750</v>
      </c>
      <c r="C994" t="s">
        <v>31</v>
      </c>
      <c r="D994" t="s">
        <v>28</v>
      </c>
      <c r="E994" t="s">
        <v>8</v>
      </c>
      <c r="F994" t="s">
        <v>23</v>
      </c>
      <c r="G994" t="s">
        <v>16</v>
      </c>
      <c r="H994">
        <v>2</v>
      </c>
      <c r="I994" s="3">
        <v>65485</v>
      </c>
      <c r="J994" s="2">
        <v>0</v>
      </c>
      <c r="K994" s="3">
        <v>130970</v>
      </c>
      <c r="L994" s="3">
        <v>84022.01</v>
      </c>
      <c r="M994" s="3">
        <v>46947.99</v>
      </c>
    </row>
    <row r="995" spans="1:13" x14ac:dyDescent="0.3">
      <c r="A995" t="s">
        <v>30</v>
      </c>
      <c r="B995" s="4">
        <v>45729</v>
      </c>
      <c r="C995" t="s">
        <v>29</v>
      </c>
      <c r="D995" t="s">
        <v>28</v>
      </c>
      <c r="E995" t="s">
        <v>8</v>
      </c>
      <c r="F995" t="s">
        <v>13</v>
      </c>
      <c r="G995" t="s">
        <v>16</v>
      </c>
      <c r="H995">
        <v>13</v>
      </c>
      <c r="I995" s="3">
        <v>67143</v>
      </c>
      <c r="J995" s="2">
        <v>0.2</v>
      </c>
      <c r="K995" s="3">
        <v>698287.2</v>
      </c>
      <c r="L995" s="3">
        <v>355225.63</v>
      </c>
      <c r="M995" s="3">
        <v>343061.57</v>
      </c>
    </row>
    <row r="996" spans="1:13" x14ac:dyDescent="0.3">
      <c r="A996" t="s">
        <v>27</v>
      </c>
      <c r="B996" s="4">
        <v>45685</v>
      </c>
      <c r="C996" t="s">
        <v>26</v>
      </c>
      <c r="D996" t="s">
        <v>25</v>
      </c>
      <c r="E996" t="s">
        <v>24</v>
      </c>
      <c r="F996" t="s">
        <v>23</v>
      </c>
      <c r="G996" t="s">
        <v>16</v>
      </c>
      <c r="H996">
        <v>10</v>
      </c>
      <c r="I996" s="3">
        <v>56216</v>
      </c>
      <c r="J996" s="2">
        <v>0.2</v>
      </c>
      <c r="K996" s="3">
        <v>449728</v>
      </c>
      <c r="L996" s="3">
        <v>268395.03000000003</v>
      </c>
      <c r="M996" s="3">
        <v>181332.97</v>
      </c>
    </row>
    <row r="997" spans="1:13" x14ac:dyDescent="0.3">
      <c r="A997" t="s">
        <v>22</v>
      </c>
      <c r="B997" s="4">
        <v>46050</v>
      </c>
      <c r="C997" t="s">
        <v>21</v>
      </c>
      <c r="D997" t="s">
        <v>17</v>
      </c>
      <c r="E997" t="s">
        <v>2</v>
      </c>
      <c r="F997" t="s">
        <v>13</v>
      </c>
      <c r="G997" t="s">
        <v>20</v>
      </c>
      <c r="H997">
        <v>10</v>
      </c>
      <c r="I997" s="3">
        <v>62411</v>
      </c>
      <c r="J997" s="2">
        <v>0.15</v>
      </c>
      <c r="K997" s="3">
        <v>530493.5</v>
      </c>
      <c r="L997" s="3">
        <v>284463.71000000002</v>
      </c>
      <c r="M997" s="3">
        <v>246029.79</v>
      </c>
    </row>
    <row r="998" spans="1:13" x14ac:dyDescent="0.3">
      <c r="A998" t="s">
        <v>19</v>
      </c>
      <c r="B998" s="4">
        <v>46061</v>
      </c>
      <c r="C998" t="s">
        <v>18</v>
      </c>
      <c r="D998" t="s">
        <v>17</v>
      </c>
      <c r="E998" t="s">
        <v>2</v>
      </c>
      <c r="F998" t="s">
        <v>13</v>
      </c>
      <c r="G998" t="s">
        <v>16</v>
      </c>
      <c r="H998">
        <v>5</v>
      </c>
      <c r="I998" s="3">
        <v>72175</v>
      </c>
      <c r="J998" s="2">
        <v>0.05</v>
      </c>
      <c r="K998" s="3">
        <v>342831.25</v>
      </c>
      <c r="L998" s="3">
        <v>282808.13</v>
      </c>
      <c r="M998" s="3">
        <v>60023.12</v>
      </c>
    </row>
    <row r="999" spans="1:13" x14ac:dyDescent="0.3">
      <c r="A999" t="s">
        <v>15</v>
      </c>
      <c r="B999" s="4">
        <v>45566</v>
      </c>
      <c r="C999" t="s">
        <v>14</v>
      </c>
      <c r="D999" t="s">
        <v>9</v>
      </c>
      <c r="E999" t="s">
        <v>8</v>
      </c>
      <c r="F999" t="s">
        <v>13</v>
      </c>
      <c r="G999" t="s">
        <v>12</v>
      </c>
      <c r="H999">
        <v>1</v>
      </c>
      <c r="I999" s="3">
        <v>57420</v>
      </c>
      <c r="J999" s="2">
        <v>0.15</v>
      </c>
      <c r="K999" s="3">
        <v>48807</v>
      </c>
      <c r="L999" s="3">
        <v>39483.14</v>
      </c>
      <c r="M999" s="3">
        <v>9323.86</v>
      </c>
    </row>
    <row r="1000" spans="1:13" x14ac:dyDescent="0.3">
      <c r="A1000" t="s">
        <v>11</v>
      </c>
      <c r="B1000" s="4">
        <v>45731</v>
      </c>
      <c r="C1000" t="s">
        <v>10</v>
      </c>
      <c r="D1000" t="s">
        <v>9</v>
      </c>
      <c r="E1000" t="s">
        <v>8</v>
      </c>
      <c r="F1000" t="s">
        <v>7</v>
      </c>
      <c r="G1000" t="s">
        <v>6</v>
      </c>
      <c r="H1000">
        <v>8</v>
      </c>
      <c r="I1000" s="3">
        <v>40839</v>
      </c>
      <c r="J1000" s="2">
        <v>0.2</v>
      </c>
      <c r="K1000" s="3">
        <v>261369.60000000001</v>
      </c>
      <c r="L1000" s="3">
        <v>134813.12</v>
      </c>
      <c r="M1000" s="3">
        <v>126556.48</v>
      </c>
    </row>
    <row r="1001" spans="1:13" x14ac:dyDescent="0.3">
      <c r="A1001" t="s">
        <v>5</v>
      </c>
      <c r="B1001" s="4">
        <v>45645</v>
      </c>
      <c r="C1001" t="s">
        <v>4</v>
      </c>
      <c r="D1001" t="s">
        <v>3</v>
      </c>
      <c r="E1001" t="s">
        <v>2</v>
      </c>
      <c r="F1001" t="s">
        <v>1</v>
      </c>
      <c r="G1001" t="s">
        <v>0</v>
      </c>
      <c r="H1001">
        <v>6</v>
      </c>
      <c r="I1001" s="3">
        <v>8818</v>
      </c>
      <c r="J1001" s="2">
        <v>0.05</v>
      </c>
      <c r="K1001" s="3">
        <v>50262.6</v>
      </c>
      <c r="L1001" s="3">
        <v>25674.68</v>
      </c>
      <c r="M1001" s="3">
        <v>24587.919999999998</v>
      </c>
    </row>
  </sheetData>
  <pageMargins left="0.7" right="0.7" top="0.75" bottom="0.75" header="0.3" footer="0.3"/>
  <tableParts count="1">
    <tablePart r:id="rId1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515D1B6-5957-45A4-97D3-35199009DB46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📋 Raw Data (2)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VINDHYA AKULA</dc:creator>
  <cp:lastModifiedBy>VINDHYA AKULA</cp:lastModifiedBy>
  <dcterms:created xsi:type="dcterms:W3CDTF">2026-06-11T04:59:10Z</dcterms:created>
  <dcterms:modified xsi:type="dcterms:W3CDTF">2026-06-11T04:59:36Z</dcterms:modified>
</cp:coreProperties>
</file>